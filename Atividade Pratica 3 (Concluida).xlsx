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[MATERIAL] EXCEL\Excel Avançado 0185\"/>
    </mc:Choice>
  </mc:AlternateContent>
  <xr:revisionPtr revIDLastSave="0" documentId="13_ncr:1_{F71111E0-36CD-406C-A93B-B79E4087C80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unção SOM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4" i="1"/>
  <c r="F5" i="1"/>
  <c r="F6" i="1"/>
  <c r="F7" i="1"/>
  <c r="F8" i="1"/>
  <c r="F9" i="1"/>
  <c r="F10" i="1"/>
  <c r="F11" i="1"/>
  <c r="F12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Ademir Andrade De Oliveira</author>
  </authors>
  <commentList>
    <comment ref="F3" authorId="0" shapeId="0" xr:uid="{D86704A3-C514-4A93-91E5-E121287DBF24}">
      <text>
        <r>
          <rPr>
            <b/>
            <sz val="9"/>
            <color indexed="81"/>
            <rFont val="Segoe UI"/>
            <family val="2"/>
          </rPr>
          <t>FUNÇÃO SE SIMPLES
=se(D4="Gasolina"; E4*1%; E4*1,3%)</t>
        </r>
      </text>
    </comment>
  </commentList>
</comments>
</file>

<file path=xl/sharedStrings.xml><?xml version="1.0" encoding="utf-8"?>
<sst xmlns="http://schemas.openxmlformats.org/spreadsheetml/2006/main" count="46" uniqueCount="31">
  <si>
    <t>Comissão</t>
  </si>
  <si>
    <t>Preço de Venda</t>
  </si>
  <si>
    <t>Marca</t>
  </si>
  <si>
    <t>Modelo</t>
  </si>
  <si>
    <t>VW - Volkswagen</t>
  </si>
  <si>
    <t>GM - Chevrolet</t>
  </si>
  <si>
    <t>Fiat</t>
  </si>
  <si>
    <t>Soma das comissões de veículos com preço acima de R$20.000,00:</t>
  </si>
  <si>
    <t>Soma dos valores de venda dos automóveis da marca GM - Chevrolet:</t>
  </si>
  <si>
    <t>Ano</t>
  </si>
  <si>
    <t xml:space="preserve">Parati 1000 Mi </t>
  </si>
  <si>
    <t xml:space="preserve">Celta Life 1.4 </t>
  </si>
  <si>
    <t xml:space="preserve">Kadett GL 2.0 </t>
  </si>
  <si>
    <t xml:space="preserve">Palio 1.5 </t>
  </si>
  <si>
    <t xml:space="preserve">Passat Variant 2.0 </t>
  </si>
  <si>
    <t>Astra Sed.Advant.</t>
  </si>
  <si>
    <t xml:space="preserve">Corsa Sed </t>
  </si>
  <si>
    <t>Fiorino Pick-Up</t>
  </si>
  <si>
    <t>Combustível</t>
  </si>
  <si>
    <t>Gasolina</t>
  </si>
  <si>
    <t>Álcool</t>
  </si>
  <si>
    <t>Voyage CL 1.8</t>
  </si>
  <si>
    <t>Uno CS/T/Sport 1.5</t>
  </si>
  <si>
    <t>Soma das comissões de veículos da marca Fiat:</t>
  </si>
  <si>
    <t>Soma dos preços de venda  dos veículos  que usam álcool como combustível:</t>
  </si>
  <si>
    <t>Soma das comissões dos veículos com ano inferior a 2000:</t>
  </si>
  <si>
    <t>Planilha de Vendas de Automóveis com Comissão</t>
  </si>
  <si>
    <t>COMISSÃO</t>
  </si>
  <si>
    <t>Se o combustível=Gasolina, comissão será igual a 1% sobre o Preço de Venda</t>
  </si>
  <si>
    <t>Se o combustível=Álcool, comissão será igual a 1,3% sobre o Preço de Venda</t>
  </si>
  <si>
    <t>SOMA DAS COMISSÕES - CRITÉRIOS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</si>
</sst>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dd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Font="1"/>
    <xf numFmtId="0" fontId="0" fillId="0" borderId="1" xfId="0" applyBorder="1"/>
    <xf numFmtId="164" fontId="0" fillId="0" borderId="1" xfId="1" applyFont="1" applyBorder="1"/>
    <xf numFmtId="0" fontId="2" fillId="0" borderId="1" xfId="0" applyFont="1" applyBorder="1"/>
    <xf numFmtId="164" fontId="0" fillId="0" borderId="1" xfId="1" applyFont="1" applyBorder="1" applyAlignment="1">
      <alignment vertical="center" wrapText="1"/>
    </xf>
    <xf numFmtId="164" fontId="0" fillId="3" borderId="1" xfId="1" applyFont="1" applyFill="1" applyBorder="1" applyAlignment="1">
      <alignment vertical="center" wrapText="1"/>
    </xf>
    <xf numFmtId="164" fontId="0" fillId="3" borderId="1" xfId="1" applyFont="1" applyFill="1" applyBorder="1"/>
    <xf numFmtId="0" fontId="2" fillId="0" borderId="0" xfId="0" applyFont="1"/>
    <xf numFmtId="164" fontId="0" fillId="0" borderId="0" xfId="1" applyFont="1" applyBorder="1"/>
    <xf numFmtId="0" fontId="4" fillId="5" borderId="0" xfId="0" applyFont="1" applyFill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14" fontId="0" fillId="0" borderId="1" xfId="0" applyNumberFormat="1" applyBorder="1"/>
    <xf numFmtId="14" fontId="2" fillId="0" borderId="1" xfId="0" applyNumberFormat="1" applyFont="1" applyBorder="1"/>
    <xf numFmtId="165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0" fillId="0" borderId="1" xfId="1" applyFont="1" applyFill="1" applyBorder="1" applyAlignment="1">
      <alignment horizontal="left" vertical="center" wrapText="1" indent="1"/>
    </xf>
    <xf numFmtId="164" fontId="0" fillId="3" borderId="1" xfId="1" applyFont="1" applyFill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</xdr:colOff>
      <xdr:row>3</xdr:row>
      <xdr:rowOff>181841</xdr:rowOff>
    </xdr:from>
    <xdr:to>
      <xdr:col>15</xdr:col>
      <xdr:colOff>474484</xdr:colOff>
      <xdr:row>21</xdr:row>
      <xdr:rowOff>58978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E9BA3CA-CBFB-206E-B062-1C5401F40691}"/>
            </a:ext>
          </a:extLst>
        </xdr:cNvPr>
        <xdr:cNvGrpSpPr/>
      </xdr:nvGrpSpPr>
      <xdr:grpSpPr>
        <a:xfrm>
          <a:off x="6696077" y="858116"/>
          <a:ext cx="5113157" cy="3306137"/>
          <a:chOff x="6606887" y="1056409"/>
          <a:chExt cx="5089778" cy="3306137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F91FF0CF-3B27-46E7-6477-608AB395A7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606887" y="1056409"/>
            <a:ext cx="3096057" cy="371527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pic>
        <xdr:nvPicPr>
          <xdr:cNvPr id="3" name="Imagem 2">
            <a:extLst>
              <a:ext uri="{FF2B5EF4-FFF2-40B4-BE49-F238E27FC236}">
                <a16:creationId xmlns:a16="http://schemas.microsoft.com/office/drawing/2014/main" id="{A75EF1F4-E516-F132-52A8-6D78FA2962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624207" y="1662546"/>
            <a:ext cx="5072458" cy="270000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4" name="Seta: para Cima 3">
            <a:extLst>
              <a:ext uri="{FF2B5EF4-FFF2-40B4-BE49-F238E27FC236}">
                <a16:creationId xmlns:a16="http://schemas.microsoft.com/office/drawing/2014/main" id="{6FFFAF91-0AE3-25D2-1C7A-CF72A12C0EB5}"/>
              </a:ext>
            </a:extLst>
          </xdr:cNvPr>
          <xdr:cNvSpPr/>
        </xdr:nvSpPr>
        <xdr:spPr>
          <a:xfrm rot="1035401">
            <a:off x="7874556" y="1336575"/>
            <a:ext cx="45719" cy="861031"/>
          </a:xfrm>
          <a:prstGeom prst="upArrow">
            <a:avLst>
              <a:gd name="adj1" fmla="val 26104"/>
              <a:gd name="adj2" fmla="val 75454"/>
            </a:avLst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6" name="Conector: Angulado 5">
            <a:extLst>
              <a:ext uri="{FF2B5EF4-FFF2-40B4-BE49-F238E27FC236}">
                <a16:creationId xmlns:a16="http://schemas.microsoft.com/office/drawing/2014/main" id="{FAB76C72-8904-D650-3D98-07A29A412797}"/>
              </a:ext>
            </a:extLst>
          </xdr:cNvPr>
          <xdr:cNvCxnSpPr/>
        </xdr:nvCxnSpPr>
        <xdr:spPr>
          <a:xfrm rot="5400000" flipH="1" flipV="1">
            <a:off x="8026979" y="1653885"/>
            <a:ext cx="1134341" cy="476254"/>
          </a:xfrm>
          <a:prstGeom prst="bentConnector3">
            <a:avLst>
              <a:gd name="adj1" fmla="val 382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: Angulado 7">
            <a:extLst>
              <a:ext uri="{FF2B5EF4-FFF2-40B4-BE49-F238E27FC236}">
                <a16:creationId xmlns:a16="http://schemas.microsoft.com/office/drawing/2014/main" id="{B451FD84-28D7-4D79-AFAC-D11C27AD9F43}"/>
              </a:ext>
            </a:extLst>
          </xdr:cNvPr>
          <xdr:cNvCxnSpPr/>
        </xdr:nvCxnSpPr>
        <xdr:spPr>
          <a:xfrm rot="5400000" flipH="1" flipV="1">
            <a:off x="8182842" y="1575954"/>
            <a:ext cx="1350818" cy="848593"/>
          </a:xfrm>
          <a:prstGeom prst="bentConnector3">
            <a:avLst>
              <a:gd name="adj1" fmla="val 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450273</xdr:colOff>
      <xdr:row>26</xdr:row>
      <xdr:rowOff>103909</xdr:rowOff>
    </xdr:from>
    <xdr:to>
      <xdr:col>5</xdr:col>
      <xdr:colOff>751786</xdr:colOff>
      <xdr:row>41</xdr:row>
      <xdr:rowOff>96634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8B3C94E8-369F-6D04-1958-37D2C1C6FF25}"/>
            </a:ext>
          </a:extLst>
        </xdr:cNvPr>
        <xdr:cNvGrpSpPr/>
      </xdr:nvGrpSpPr>
      <xdr:grpSpPr>
        <a:xfrm>
          <a:off x="450273" y="5161684"/>
          <a:ext cx="5587888" cy="2850225"/>
          <a:chOff x="450273" y="5160818"/>
          <a:chExt cx="5514286" cy="2850225"/>
        </a:xfrm>
      </xdr:grpSpPr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5DA73DB2-CCDD-7A0E-EED0-E0FF24186E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0273" y="5230091"/>
            <a:ext cx="5514286" cy="2780952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857043D2-374B-8860-6FA0-8F9770A7CCF5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4"/>
          <a:srcRect t="2274" r="2666" b="-2"/>
          <a:stretch/>
        </xdr:blipFill>
        <xdr:spPr>
          <a:xfrm>
            <a:off x="1956955" y="5160818"/>
            <a:ext cx="3060000" cy="360000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glow rad="101600">
              <a:schemeClr val="accent2">
                <a:satMod val="175000"/>
                <a:alpha val="40000"/>
              </a:schemeClr>
            </a:glow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</xdr:grpSp>
    <xdr:clientData/>
  </xdr:twoCellAnchor>
  <xdr:twoCellAnchor>
    <xdr:from>
      <xdr:col>6</xdr:col>
      <xdr:colOff>1732</xdr:colOff>
      <xdr:row>20</xdr:row>
      <xdr:rowOff>86591</xdr:rowOff>
    </xdr:from>
    <xdr:to>
      <xdr:col>14</xdr:col>
      <xdr:colOff>31158</xdr:colOff>
      <xdr:row>33</xdr:row>
      <xdr:rowOff>29591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16D304ED-C940-778E-962E-46300B63447E}"/>
            </a:ext>
          </a:extLst>
        </xdr:cNvPr>
        <xdr:cNvGrpSpPr/>
      </xdr:nvGrpSpPr>
      <xdr:grpSpPr>
        <a:xfrm>
          <a:off x="6278707" y="4001366"/>
          <a:ext cx="4477601" cy="2419500"/>
          <a:chOff x="6201641" y="4000500"/>
          <a:chExt cx="4454222" cy="2419500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5B3D4520-8B7B-3EED-A69B-1C402BF6FF6E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5"/>
          <a:srcRect t="4811" r="4393"/>
          <a:stretch/>
        </xdr:blipFill>
        <xdr:spPr>
          <a:xfrm>
            <a:off x="7187046" y="4407477"/>
            <a:ext cx="2880000" cy="324000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279E1D12-7CF8-BE57-54B3-705DAB41AA72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403523" y="4944341"/>
            <a:ext cx="2880000" cy="360000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CD1CC009-F866-8440-029B-8B0D7AF428AC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602680" y="5550478"/>
            <a:ext cx="2880000" cy="324000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0D0B8568-214B-36B4-3492-F9C99E38696F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8"/>
          <a:srcRect t="7215" r="2585"/>
          <a:stretch/>
        </xdr:blipFill>
        <xdr:spPr>
          <a:xfrm>
            <a:off x="7775863" y="6096000"/>
            <a:ext cx="2880000" cy="324000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xdr:cxnSp macro="">
        <xdr:nvCxnSpPr>
          <xdr:cNvPr id="9" name="Conector de Seta Reta 8">
            <a:extLst>
              <a:ext uri="{FF2B5EF4-FFF2-40B4-BE49-F238E27FC236}">
                <a16:creationId xmlns:a16="http://schemas.microsoft.com/office/drawing/2014/main" id="{F7B7257A-16D2-03C5-E51B-0F44481BB306}"/>
              </a:ext>
            </a:extLst>
          </xdr:cNvPr>
          <xdr:cNvCxnSpPr/>
        </xdr:nvCxnSpPr>
        <xdr:spPr>
          <a:xfrm>
            <a:off x="6217227" y="4000500"/>
            <a:ext cx="857250" cy="545523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de Seta Reta 9">
            <a:extLst>
              <a:ext uri="{FF2B5EF4-FFF2-40B4-BE49-F238E27FC236}">
                <a16:creationId xmlns:a16="http://schemas.microsoft.com/office/drawing/2014/main" id="{DCDFE216-DE16-49BC-A85E-AB83DB3DBF2D}"/>
              </a:ext>
            </a:extLst>
          </xdr:cNvPr>
          <xdr:cNvCxnSpPr/>
        </xdr:nvCxnSpPr>
        <xdr:spPr>
          <a:xfrm>
            <a:off x="6217226" y="4199659"/>
            <a:ext cx="1082387" cy="90920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de Seta Reta 15">
            <a:extLst>
              <a:ext uri="{FF2B5EF4-FFF2-40B4-BE49-F238E27FC236}">
                <a16:creationId xmlns:a16="http://schemas.microsoft.com/office/drawing/2014/main" id="{7ABFB448-AF9D-4A46-BCFF-6C984BE97D65}"/>
              </a:ext>
            </a:extLst>
          </xdr:cNvPr>
          <xdr:cNvCxnSpPr/>
        </xdr:nvCxnSpPr>
        <xdr:spPr>
          <a:xfrm>
            <a:off x="6205104" y="4404015"/>
            <a:ext cx="1276351" cy="130232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de Seta Reta 26">
            <a:extLst>
              <a:ext uri="{FF2B5EF4-FFF2-40B4-BE49-F238E27FC236}">
                <a16:creationId xmlns:a16="http://schemas.microsoft.com/office/drawing/2014/main" id="{901BE5D7-09AC-4B3F-9EE8-6F077E5DE347}"/>
              </a:ext>
            </a:extLst>
          </xdr:cNvPr>
          <xdr:cNvCxnSpPr/>
        </xdr:nvCxnSpPr>
        <xdr:spPr>
          <a:xfrm>
            <a:off x="6201641" y="4582391"/>
            <a:ext cx="1461654" cy="1678132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zoomScaleNormal="100" workbookViewId="0">
      <selection activeCell="M1" sqref="M1"/>
    </sheetView>
  </sheetViews>
  <sheetFormatPr defaultRowHeight="15" x14ac:dyDescent="0.25"/>
  <cols>
    <col min="1" max="1" width="16.85546875" customWidth="1"/>
    <col min="2" max="2" width="19.7109375" customWidth="1"/>
    <col min="3" max="3" width="12.85546875" customWidth="1"/>
    <col min="4" max="4" width="13.140625" customWidth="1"/>
    <col min="5" max="5" width="16.7109375" customWidth="1"/>
    <col min="6" max="6" width="14.85546875" customWidth="1"/>
    <col min="7" max="7" width="6.28515625" customWidth="1"/>
    <col min="8" max="8" width="5.5703125" customWidth="1"/>
  </cols>
  <sheetData>
    <row r="1" spans="1:9" ht="23.25" customHeight="1" x14ac:dyDescent="0.25">
      <c r="A1" s="16" t="s">
        <v>26</v>
      </c>
      <c r="B1" s="16"/>
      <c r="C1" s="16"/>
      <c r="D1" s="16"/>
      <c r="E1" s="16"/>
      <c r="F1" s="16"/>
    </row>
    <row r="2" spans="1:9" x14ac:dyDescent="0.25">
      <c r="A2" s="17"/>
      <c r="B2" s="17"/>
      <c r="C2" s="17"/>
      <c r="D2" s="17"/>
      <c r="E2" s="17"/>
      <c r="F2" s="17"/>
    </row>
    <row r="3" spans="1:9" x14ac:dyDescent="0.25">
      <c r="A3" s="12" t="s">
        <v>2</v>
      </c>
      <c r="B3" s="12" t="s">
        <v>3</v>
      </c>
      <c r="C3" s="12" t="s">
        <v>9</v>
      </c>
      <c r="D3" s="12" t="s">
        <v>18</v>
      </c>
      <c r="E3" s="12" t="s">
        <v>1</v>
      </c>
      <c r="F3" s="12" t="s">
        <v>0</v>
      </c>
    </row>
    <row r="4" spans="1:9" x14ac:dyDescent="0.25">
      <c r="A4" s="2" t="s">
        <v>4</v>
      </c>
      <c r="B4" s="2" t="s">
        <v>10</v>
      </c>
      <c r="C4" s="13">
        <v>37257</v>
      </c>
      <c r="D4" s="2" t="s">
        <v>19</v>
      </c>
      <c r="E4" s="3">
        <v>22500</v>
      </c>
      <c r="F4" s="3">
        <f>IF(D4="Gasolina",E4*1%,E4*1.3%)</f>
        <v>225</v>
      </c>
    </row>
    <row r="5" spans="1:9" x14ac:dyDescent="0.25">
      <c r="A5" s="4" t="s">
        <v>5</v>
      </c>
      <c r="B5" s="4" t="s">
        <v>11</v>
      </c>
      <c r="C5" s="14">
        <v>39082</v>
      </c>
      <c r="D5" s="4" t="s">
        <v>19</v>
      </c>
      <c r="E5" s="3">
        <v>18900</v>
      </c>
      <c r="F5" s="3">
        <f t="shared" ref="F5:F13" si="0">IF(D5="Gasolina",E5*1%,E5*1.3%)</f>
        <v>189</v>
      </c>
      <c r="G5" s="1"/>
    </row>
    <row r="6" spans="1:9" x14ac:dyDescent="0.25">
      <c r="A6" s="4" t="s">
        <v>5</v>
      </c>
      <c r="B6" s="4" t="s">
        <v>12</v>
      </c>
      <c r="C6" s="14">
        <v>35247</v>
      </c>
      <c r="D6" s="4" t="s">
        <v>20</v>
      </c>
      <c r="E6" s="3">
        <v>11530</v>
      </c>
      <c r="F6" s="3">
        <f t="shared" si="0"/>
        <v>149.89000000000001</v>
      </c>
      <c r="G6" s="1"/>
    </row>
    <row r="7" spans="1:9" x14ac:dyDescent="0.25">
      <c r="A7" s="2" t="s">
        <v>6</v>
      </c>
      <c r="B7" s="4" t="s">
        <v>13</v>
      </c>
      <c r="C7" s="14">
        <v>37257</v>
      </c>
      <c r="D7" s="4" t="s">
        <v>20</v>
      </c>
      <c r="E7" s="3">
        <v>14885</v>
      </c>
      <c r="F7" s="3">
        <f t="shared" si="0"/>
        <v>193.50500000000002</v>
      </c>
      <c r="G7" s="1"/>
    </row>
    <row r="8" spans="1:9" x14ac:dyDescent="0.25">
      <c r="A8" s="2" t="s">
        <v>4</v>
      </c>
      <c r="B8" s="4" t="s">
        <v>14</v>
      </c>
      <c r="C8" s="14">
        <v>34469</v>
      </c>
      <c r="D8" s="4" t="s">
        <v>19</v>
      </c>
      <c r="E8" s="3">
        <v>13457</v>
      </c>
      <c r="F8" s="3">
        <f t="shared" si="0"/>
        <v>134.57</v>
      </c>
      <c r="G8" s="1"/>
      <c r="H8" s="15"/>
      <c r="I8" s="15"/>
    </row>
    <row r="9" spans="1:9" x14ac:dyDescent="0.25">
      <c r="A9" s="2" t="s">
        <v>6</v>
      </c>
      <c r="B9" s="4" t="s">
        <v>22</v>
      </c>
      <c r="C9" s="14">
        <v>35064</v>
      </c>
      <c r="D9" s="4" t="s">
        <v>20</v>
      </c>
      <c r="E9" s="3">
        <v>9940</v>
      </c>
      <c r="F9" s="3">
        <f t="shared" si="0"/>
        <v>129.22</v>
      </c>
      <c r="G9" s="1"/>
    </row>
    <row r="10" spans="1:9" x14ac:dyDescent="0.25">
      <c r="A10" s="2" t="s">
        <v>5</v>
      </c>
      <c r="B10" s="4" t="s">
        <v>15</v>
      </c>
      <c r="C10" s="14">
        <v>39448</v>
      </c>
      <c r="D10" s="4" t="s">
        <v>19</v>
      </c>
      <c r="E10" s="3">
        <v>40848</v>
      </c>
      <c r="F10" s="3">
        <f t="shared" si="0"/>
        <v>408.48</v>
      </c>
      <c r="G10" s="1"/>
    </row>
    <row r="11" spans="1:9" x14ac:dyDescent="0.25">
      <c r="A11" s="2" t="s">
        <v>4</v>
      </c>
      <c r="B11" s="4" t="s">
        <v>21</v>
      </c>
      <c r="C11" s="14">
        <v>35003</v>
      </c>
      <c r="D11" s="4" t="s">
        <v>20</v>
      </c>
      <c r="E11" s="3">
        <v>9877</v>
      </c>
      <c r="F11" s="3">
        <f t="shared" si="0"/>
        <v>128.40100000000001</v>
      </c>
      <c r="G11" s="1"/>
    </row>
    <row r="12" spans="1:9" x14ac:dyDescent="0.25">
      <c r="A12" s="2" t="s">
        <v>5</v>
      </c>
      <c r="B12" s="4" t="s">
        <v>16</v>
      </c>
      <c r="C12" s="14">
        <v>38718</v>
      </c>
      <c r="D12" s="4" t="s">
        <v>19</v>
      </c>
      <c r="E12" s="3">
        <v>22228</v>
      </c>
      <c r="F12" s="3">
        <f t="shared" si="0"/>
        <v>222.28</v>
      </c>
      <c r="G12" s="1"/>
    </row>
    <row r="13" spans="1:9" x14ac:dyDescent="0.25">
      <c r="A13" s="2" t="s">
        <v>6</v>
      </c>
      <c r="B13" s="4" t="s">
        <v>17</v>
      </c>
      <c r="C13" s="14">
        <v>35827</v>
      </c>
      <c r="D13" s="4" t="s">
        <v>19</v>
      </c>
      <c r="E13" s="3">
        <v>13187</v>
      </c>
      <c r="F13" s="3">
        <f t="shared" si="0"/>
        <v>131.87</v>
      </c>
      <c r="G13" s="1"/>
    </row>
    <row r="14" spans="1:9" x14ac:dyDescent="0.25">
      <c r="B14" s="8"/>
      <c r="C14" s="8"/>
      <c r="D14" s="8"/>
      <c r="E14" s="9"/>
      <c r="F14" s="9"/>
      <c r="G14" s="1"/>
    </row>
    <row r="15" spans="1:9" x14ac:dyDescent="0.25">
      <c r="A15" s="10" t="s">
        <v>27</v>
      </c>
      <c r="B15" s="20" t="s">
        <v>28</v>
      </c>
      <c r="C15" s="21"/>
      <c r="D15" s="21"/>
      <c r="E15" s="21"/>
      <c r="F15" s="22"/>
      <c r="G15" s="1"/>
    </row>
    <row r="16" spans="1:9" x14ac:dyDescent="0.25">
      <c r="B16" s="20" t="s">
        <v>29</v>
      </c>
      <c r="C16" s="21"/>
      <c r="D16" s="21"/>
      <c r="E16" s="21"/>
      <c r="F16" s="22"/>
      <c r="G16" s="1"/>
    </row>
    <row r="17" spans="1:7" x14ac:dyDescent="0.25">
      <c r="B17" s="11"/>
      <c r="C17" s="11"/>
      <c r="D17" s="11"/>
      <c r="E17" s="11"/>
      <c r="F17" s="11"/>
      <c r="G17" s="1"/>
    </row>
    <row r="18" spans="1:7" x14ac:dyDescent="0.25">
      <c r="B18" s="11"/>
      <c r="C18" s="11"/>
      <c r="D18" s="11"/>
      <c r="E18" s="11"/>
      <c r="F18" s="11"/>
      <c r="G18" s="1"/>
    </row>
    <row r="19" spans="1:7" x14ac:dyDescent="0.25">
      <c r="A19" s="10" t="s">
        <v>30</v>
      </c>
      <c r="B19" s="10"/>
      <c r="C19" s="11"/>
      <c r="D19" s="11"/>
      <c r="E19" s="11"/>
      <c r="F19" s="11"/>
      <c r="G19" s="1"/>
    </row>
    <row r="20" spans="1:7" x14ac:dyDescent="0.25">
      <c r="D20" s="1"/>
      <c r="E20" s="1"/>
    </row>
    <row r="21" spans="1:7" ht="15" customHeight="1" x14ac:dyDescent="0.25">
      <c r="A21" s="19" t="s">
        <v>7</v>
      </c>
      <c r="B21" s="19"/>
      <c r="C21" s="19"/>
      <c r="D21" s="19"/>
      <c r="E21" s="19"/>
      <c r="F21" s="6">
        <f>SUMIF(E4:E13,"&gt;20000",F4:F13)</f>
        <v>855.76</v>
      </c>
    </row>
    <row r="22" spans="1:7" ht="15" customHeight="1" x14ac:dyDescent="0.25">
      <c r="A22" s="18" t="s">
        <v>8</v>
      </c>
      <c r="B22" s="18"/>
      <c r="C22" s="18"/>
      <c r="D22" s="18"/>
      <c r="E22" s="18"/>
      <c r="F22" s="5">
        <f>SUMIF(A4:A13,"GM*",E4:E13)</f>
        <v>93506</v>
      </c>
    </row>
    <row r="23" spans="1:7" ht="15" customHeight="1" x14ac:dyDescent="0.25">
      <c r="A23" s="19" t="s">
        <v>23</v>
      </c>
      <c r="B23" s="19"/>
      <c r="C23" s="19"/>
      <c r="D23" s="19"/>
      <c r="E23" s="19"/>
      <c r="F23" s="6">
        <f>SUMIF(A4:A13,"Fiat",F4:F13)</f>
        <v>454.59500000000003</v>
      </c>
    </row>
    <row r="24" spans="1:7" ht="15" customHeight="1" x14ac:dyDescent="0.25">
      <c r="A24" s="18" t="s">
        <v>24</v>
      </c>
      <c r="B24" s="18"/>
      <c r="C24" s="18"/>
      <c r="D24" s="18"/>
      <c r="E24" s="18"/>
      <c r="F24" s="5">
        <f>SUMIF(D4:D13,"Álcool",E4:E13)</f>
        <v>46232</v>
      </c>
    </row>
    <row r="25" spans="1:7" ht="15" customHeight="1" x14ac:dyDescent="0.25">
      <c r="A25" s="19" t="s">
        <v>25</v>
      </c>
      <c r="B25" s="19"/>
      <c r="C25" s="19"/>
      <c r="D25" s="19"/>
      <c r="E25" s="19"/>
      <c r="F25" s="7">
        <f>SUMIF(C4:C13,"&lt;01/01/2000",F4:F13)</f>
        <v>673.95100000000014</v>
      </c>
    </row>
  </sheetData>
  <mergeCells count="9">
    <mergeCell ref="H8:I8"/>
    <mergeCell ref="A1:F2"/>
    <mergeCell ref="A24:E24"/>
    <mergeCell ref="A25:E25"/>
    <mergeCell ref="B15:F15"/>
    <mergeCell ref="B16:F16"/>
    <mergeCell ref="A21:E21"/>
    <mergeCell ref="A22:E22"/>
    <mergeCell ref="A23:E23"/>
  </mergeCells>
  <pageMargins left="0.511811024" right="0.511811024" top="0.78740157499999996" bottom="0.78740157499999996" header="0.31496062000000002" footer="0.31496062000000002"/>
  <pageSetup orientation="portrait" horizontalDpi="300" r:id="rId1"/>
  <cellWatches>
    <cellWatch r="F21"/>
  </cellWatche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77A8D0BB47964CA28F51CD21440E84" ma:contentTypeVersion="13" ma:contentTypeDescription="Crie um novo documento." ma:contentTypeScope="" ma:versionID="6cc8c841a593b87c83286fba5d80a0cf">
  <xsd:schema xmlns:xsd="http://www.w3.org/2001/XMLSchema" xmlns:xs="http://www.w3.org/2001/XMLSchema" xmlns:p="http://schemas.microsoft.com/office/2006/metadata/properties" xmlns:ns3="74285de9-ba77-4c98-a537-e81f4f703a9a" xmlns:ns4="b67657ac-f914-40d1-be53-a4c52323e7ab" targetNamespace="http://schemas.microsoft.com/office/2006/metadata/properties" ma:root="true" ma:fieldsID="00367b37cf8dba711aea349074357f54" ns3:_="" ns4:_="">
    <xsd:import namespace="74285de9-ba77-4c98-a537-e81f4f703a9a"/>
    <xsd:import namespace="b67657ac-f914-40d1-be53-a4c52323e7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de9-ba77-4c98-a537-e81f4f703a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657ac-f914-40d1-be53-a4c52323e7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409006-147C-4DF3-A465-05284C1BE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85de9-ba77-4c98-a537-e81f4f703a9a"/>
    <ds:schemaRef ds:uri="b67657ac-f914-40d1-be53-a4c52323e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4D921A-6C92-4957-90A6-0A39291173CF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b67657ac-f914-40d1-be53-a4c52323e7ab"/>
    <ds:schemaRef ds:uri="http://schemas.microsoft.com/office/2006/metadata/properties"/>
    <ds:schemaRef ds:uri="http://schemas.openxmlformats.org/package/2006/metadata/core-properties"/>
    <ds:schemaRef ds:uri="74285de9-ba77-4c98-a537-e81f4f703a9a"/>
  </ds:schemaRefs>
</ds:datastoreItem>
</file>

<file path=customXml/itemProps3.xml><?xml version="1.0" encoding="utf-8"?>
<ds:datastoreItem xmlns:ds="http://schemas.openxmlformats.org/officeDocument/2006/customXml" ds:itemID="{395AE2BA-1EF2-4D4E-8924-F205E0FA57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Função SOMASE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Ademir Andrade De Oliveira</cp:lastModifiedBy>
  <dcterms:created xsi:type="dcterms:W3CDTF">2009-03-21T14:20:33Z</dcterms:created>
  <dcterms:modified xsi:type="dcterms:W3CDTF">2025-08-23T10:12:37Z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0x010100EA77A8D0BB47964CA28F51CD21440E84</vt:lpwstr>
  </property>
</Properties>
</file>