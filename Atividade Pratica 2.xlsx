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KINGSTON\Cursos SENAC\EXCEL AVANÇADO\Exercícios\"/>
    </mc:Choice>
  </mc:AlternateContent>
  <xr:revisionPtr revIDLastSave="0" documentId="13_ncr:1_{09840460-ED5B-4592-9E42-01B592F0086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unção SE Composta" sheetId="4" r:id="rId1"/>
    <sheet name="Função SE Aninhado" sheetId="5" r:id="rId2"/>
    <sheet name="Função ProcV" sheetId="1" r:id="rId3"/>
  </sheets>
  <definedNames>
    <definedName name="TOTAL">'Função SE Aninhado'!$F$8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10" i="1"/>
  <c r="E11" i="1"/>
  <c r="E12" i="1"/>
  <c r="E13" i="1"/>
  <c r="E14" i="1"/>
  <c r="E15" i="1"/>
  <c r="E16" i="1"/>
  <c r="E17" i="1"/>
  <c r="E18" i="1"/>
  <c r="E19" i="1"/>
  <c r="E20" i="1"/>
  <c r="E9" i="1"/>
  <c r="D10" i="1"/>
  <c r="D11" i="1"/>
  <c r="D12" i="1"/>
  <c r="D13" i="1"/>
  <c r="D14" i="1"/>
  <c r="D15" i="1"/>
  <c r="D16" i="1"/>
  <c r="D17" i="1"/>
  <c r="D18" i="1"/>
  <c r="D19" i="1"/>
  <c r="D20" i="1"/>
  <c r="D9" i="1"/>
  <c r="C21" i="1"/>
  <c r="C11" i="5"/>
  <c r="D11" i="5"/>
  <c r="E11" i="5"/>
  <c r="B11" i="5"/>
  <c r="F3" i="5"/>
  <c r="F4" i="5"/>
  <c r="F5" i="5"/>
  <c r="F6" i="5"/>
  <c r="F7" i="5"/>
  <c r="C10" i="5" l="1"/>
  <c r="D10" i="5"/>
  <c r="E10" i="5"/>
  <c r="B10" i="5"/>
  <c r="B8" i="5"/>
  <c r="G7" i="5" s="1"/>
  <c r="C9" i="5"/>
  <c r="D9" i="5"/>
  <c r="E9" i="5"/>
  <c r="B9" i="5"/>
  <c r="G6" i="5"/>
  <c r="H5" i="4"/>
  <c r="H6" i="4"/>
  <c r="H7" i="4"/>
  <c r="H8" i="4"/>
  <c r="H9" i="4"/>
  <c r="H4" i="4"/>
  <c r="D5" i="4" a="1"/>
  <c r="D5" i="4" s="1"/>
  <c r="D6" i="4" a="1"/>
  <c r="D6" i="4"/>
  <c r="D7" i="4" a="1"/>
  <c r="D7" i="4" s="1"/>
  <c r="D8" i="4" a="1"/>
  <c r="D8" i="4"/>
  <c r="D9" i="4" a="1"/>
  <c r="D9" i="4" s="1"/>
  <c r="D4" i="4" a="1"/>
  <c r="D4" i="4" s="1"/>
  <c r="G5" i="5" l="1"/>
  <c r="G4" i="5"/>
  <c r="G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<sst xmlns="http://schemas.openxmlformats.org/spreadsheetml/2006/main" count="99" uniqueCount="75">
  <si>
    <t>Tipo de Aplicação</t>
  </si>
  <si>
    <t>Taxa</t>
  </si>
  <si>
    <t>Over Night</t>
  </si>
  <si>
    <t>Over Day</t>
  </si>
  <si>
    <t>Over Boo</t>
  </si>
  <si>
    <t>Over Tree</t>
  </si>
  <si>
    <t>Over Dose</t>
  </si>
  <si>
    <t>Meses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</si>
  <si>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</si>
  <si>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</si>
  <si>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</si>
  <si>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</si>
  <si>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</si>
  <si>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</si>
  <si>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</si>
  <si>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</si>
  <si>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</si>
  <si>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</si>
  <si>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</si>
  <si>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</si>
  <si>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Tipo</t>
  </si>
  <si>
    <t>Vr. Aplicado</t>
  </si>
  <si>
    <t>Valor do Lucro</t>
  </si>
  <si>
    <t>Total Aplicação</t>
  </si>
  <si>
    <t>Média Valor Aplicado:</t>
  </si>
  <si>
    <t>Total do Lucro:</t>
  </si>
  <si>
    <t>Faça o cálculo das médias das colunas</t>
  </si>
  <si>
    <t>Faça o cálculo do total da coluna valor do lucro</t>
  </si>
  <si>
    <t>Conceito C = Demissão</t>
  </si>
  <si>
    <t>Senão Recuperação</t>
  </si>
  <si>
    <t>Conceito B = Experiência</t>
  </si>
  <si>
    <t>Se Nota &lt; 40 Reprovado</t>
  </si>
  <si>
    <t>Conceito A = Contratado</t>
  </si>
  <si>
    <t>Situação</t>
  </si>
  <si>
    <t>Se Nota &gt;= 60 Aprovado</t>
  </si>
  <si>
    <t xml:space="preserve">  </t>
  </si>
  <si>
    <t>A</t>
  </si>
  <si>
    <t>Davi</t>
  </si>
  <si>
    <t>B</t>
  </si>
  <si>
    <t>Camila</t>
  </si>
  <si>
    <t>C</t>
  </si>
  <si>
    <t>Maria</t>
  </si>
  <si>
    <t>Ana</t>
  </si>
  <si>
    <t>Chico</t>
  </si>
  <si>
    <t>Zé</t>
  </si>
  <si>
    <t>Conceito</t>
  </si>
  <si>
    <t>Vendedor:</t>
  </si>
  <si>
    <t>Nota</t>
  </si>
  <si>
    <t>Aluno:</t>
  </si>
  <si>
    <t>Conceito de Vendas</t>
  </si>
  <si>
    <t>Lista de Alunos</t>
  </si>
  <si>
    <t>LOJAS ROUPAS &amp; CIA LTDA</t>
  </si>
  <si>
    <t>DEPARTAMENTO</t>
  </si>
  <si>
    <t>1ª SEM.</t>
  </si>
  <si>
    <t>2ª SEM.</t>
  </si>
  <si>
    <t>3ª SEM.</t>
  </si>
  <si>
    <t>4ª SEM.</t>
  </si>
  <si>
    <t>TOTAL</t>
  </si>
  <si>
    <t>% TOTAL</t>
  </si>
  <si>
    <t>Masculino</t>
  </si>
  <si>
    <t>Feminino</t>
  </si>
  <si>
    <t>Infantil</t>
  </si>
  <si>
    <t>Utilidades</t>
  </si>
  <si>
    <t>Esportes</t>
  </si>
  <si>
    <t>Total de Vendas</t>
  </si>
  <si>
    <t>Maior Venda Semanal</t>
  </si>
  <si>
    <t>Depart. Obteve Maior Venda Semanal</t>
  </si>
  <si>
    <t>ATIVIDADE</t>
  </si>
  <si>
    <t>1- Calcular o total mensal de cada Departamento.</t>
  </si>
  <si>
    <t>2- Calcular a porcentagem de cada Departamento em relação ao Total Geral</t>
  </si>
  <si>
    <t>3- Calcular a média de vendas de cada semana</t>
  </si>
  <si>
    <t>4- Mostrar o nome Departamento que obteve maior venda semanal</t>
  </si>
  <si>
    <t>Usando a função ProcV, localize a porcentagem da aplicação indicada.</t>
  </si>
  <si>
    <t>Total Aplicação será o Valor Aplicado mais o Valor do Lucro</t>
  </si>
  <si>
    <t>Média de Vendas por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</si>
</sst>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 &quot;* #,##0.00_-;\-&quot;R$ &quot;* #,##0.00_-;_-&quot;R$ &quot;* &quot;-&quot;??_-;_-@_-"/>
    <numFmt numFmtId="165" formatCode="0.0%"/>
    <numFmt numFmtId="168" formatCode="0\ &quot;un&quot;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name val="Bodoni Bk BT"/>
      <family val="1"/>
    </font>
    <font>
      <sz val="10"/>
      <color rgb="FF002060"/>
      <name val="Arial"/>
      <family val="2"/>
    </font>
    <font>
      <b/>
      <sz val="10"/>
      <name val="Calibri"/>
      <family val="2"/>
      <scheme val="minor"/>
    </font>
    <font>
      <sz val="12"/>
      <name val="Arial"/>
      <family val="2"/>
    </font>
    <font>
      <b/>
      <sz val="12"/>
      <color theme="0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2" applyFont="1"/>
    <xf numFmtId="0" fontId="4" fillId="2" borderId="0" xfId="2" applyFont="1" applyFill="1"/>
    <xf numFmtId="0" fontId="3" fillId="0" borderId="1" xfId="2" applyFont="1" applyBorder="1"/>
    <xf numFmtId="0" fontId="3" fillId="0" borderId="1" xfId="2" applyFont="1" applyBorder="1" applyAlignment="1">
      <alignment horizontal="center"/>
    </xf>
    <xf numFmtId="0" fontId="3" fillId="0" borderId="0" xfId="2" quotePrefix="1" applyFont="1"/>
    <xf numFmtId="0" fontId="5" fillId="5" borderId="1" xfId="2" applyFont="1" applyFill="1" applyBorder="1"/>
    <xf numFmtId="0" fontId="5" fillId="6" borderId="1" xfId="2" applyFont="1" applyFill="1" applyBorder="1"/>
    <xf numFmtId="0" fontId="2" fillId="0" borderId="0" xfId="3"/>
    <xf numFmtId="0" fontId="2" fillId="9" borderId="8" xfId="3" applyFill="1" applyBorder="1" applyAlignment="1">
      <alignment horizontal="center"/>
    </xf>
    <xf numFmtId="0" fontId="2" fillId="9" borderId="9" xfId="3" applyFill="1" applyBorder="1" applyAlignment="1">
      <alignment horizontal="center"/>
    </xf>
    <xf numFmtId="0" fontId="8" fillId="10" borderId="10" xfId="3" applyFont="1" applyFill="1" applyBorder="1"/>
    <xf numFmtId="0" fontId="2" fillId="0" borderId="1" xfId="3" applyBorder="1"/>
    <xf numFmtId="0" fontId="9" fillId="0" borderId="10" xfId="3" applyFont="1" applyBorder="1"/>
    <xf numFmtId="0" fontId="2" fillId="11" borderId="11" xfId="3" applyFill="1" applyBorder="1"/>
    <xf numFmtId="0" fontId="2" fillId="11" borderId="12" xfId="3" applyFill="1" applyBorder="1"/>
    <xf numFmtId="0" fontId="2" fillId="11" borderId="13" xfId="3" applyFill="1" applyBorder="1"/>
    <xf numFmtId="0" fontId="9" fillId="0" borderId="0" xfId="3" applyFont="1"/>
    <xf numFmtId="0" fontId="10" fillId="0" borderId="0" xfId="0" applyFont="1"/>
    <xf numFmtId="0" fontId="11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165" fontId="10" fillId="0" borderId="1" xfId="0" applyNumberFormat="1" applyFont="1" applyBorder="1" applyAlignment="1">
      <alignment horizontal="right"/>
    </xf>
    <xf numFmtId="0" fontId="10" fillId="3" borderId="1" xfId="0" applyFont="1" applyFill="1" applyBorder="1" applyAlignment="1">
      <alignment horizontal="left"/>
    </xf>
    <xf numFmtId="164" fontId="10" fillId="0" borderId="1" xfId="1" applyFont="1" applyFill="1" applyBorder="1" applyAlignment="1">
      <alignment horizontal="left"/>
    </xf>
    <xf numFmtId="43" fontId="10" fillId="0" borderId="0" xfId="0" applyNumberFormat="1" applyFont="1"/>
    <xf numFmtId="0" fontId="13" fillId="4" borderId="1" xfId="0" applyFont="1" applyFill="1" applyBorder="1" applyAlignment="1">
      <alignment horizontal="left"/>
    </xf>
    <xf numFmtId="164" fontId="10" fillId="0" borderId="1" xfId="0" applyNumberFormat="1" applyFont="1" applyBorder="1" applyAlignment="1">
      <alignment horizontal="left"/>
    </xf>
    <xf numFmtId="164" fontId="10" fillId="0" borderId="2" xfId="1" applyFont="1" applyFill="1" applyBorder="1" applyAlignment="1">
      <alignment horizontal="left"/>
    </xf>
    <xf numFmtId="164" fontId="10" fillId="0" borderId="4" xfId="1" applyFont="1" applyFill="1" applyBorder="1" applyAlignment="1">
      <alignment horizontal="left"/>
    </xf>
    <xf numFmtId="0" fontId="6" fillId="7" borderId="1" xfId="2" applyFont="1" applyFill="1" applyBorder="1" applyAlignment="1">
      <alignment horizontal="center"/>
    </xf>
    <xf numFmtId="0" fontId="6" fillId="3" borderId="1" xfId="2" applyFont="1" applyFill="1" applyBorder="1" applyAlignment="1">
      <alignment horizontal="center"/>
    </xf>
    <xf numFmtId="0" fontId="2" fillId="0" borderId="19" xfId="3" applyBorder="1" applyAlignment="1">
      <alignment horizontal="left" vertical="center" wrapText="1"/>
    </xf>
    <xf numFmtId="0" fontId="2" fillId="0" borderId="20" xfId="3" applyBorder="1" applyAlignment="1">
      <alignment horizontal="left" vertical="center" wrapText="1"/>
    </xf>
    <xf numFmtId="0" fontId="2" fillId="0" borderId="21" xfId="3" applyBorder="1" applyAlignment="1">
      <alignment horizontal="left" vertical="center" wrapText="1"/>
    </xf>
    <xf numFmtId="0" fontId="7" fillId="8" borderId="5" xfId="3" applyFont="1" applyFill="1" applyBorder="1" applyAlignment="1">
      <alignment horizontal="center" vertical="center"/>
    </xf>
    <xf numFmtId="0" fontId="7" fillId="8" borderId="6" xfId="3" applyFont="1" applyFill="1" applyBorder="1" applyAlignment="1">
      <alignment horizontal="center" vertical="center"/>
    </xf>
    <xf numFmtId="0" fontId="7" fillId="8" borderId="7" xfId="3" applyFont="1" applyFill="1" applyBorder="1" applyAlignment="1">
      <alignment horizontal="center" vertical="center"/>
    </xf>
    <xf numFmtId="0" fontId="2" fillId="12" borderId="5" xfId="3" applyFill="1" applyBorder="1" applyAlignment="1">
      <alignment horizontal="center"/>
    </xf>
    <xf numFmtId="0" fontId="2" fillId="12" borderId="6" xfId="3" applyFill="1" applyBorder="1" applyAlignment="1">
      <alignment horizontal="center"/>
    </xf>
    <xf numFmtId="0" fontId="2" fillId="12" borderId="7" xfId="3" applyFill="1" applyBorder="1" applyAlignment="1">
      <alignment horizontal="center"/>
    </xf>
    <xf numFmtId="0" fontId="2" fillId="0" borderId="14" xfId="3" applyBorder="1" applyAlignment="1">
      <alignment horizontal="left" vertical="center" wrapText="1"/>
    </xf>
    <xf numFmtId="0" fontId="2" fillId="0" borderId="15" xfId="3" applyBorder="1" applyAlignment="1">
      <alignment horizontal="left" vertical="center" wrapText="1"/>
    </xf>
    <xf numFmtId="0" fontId="2" fillId="0" borderId="16" xfId="3" applyBorder="1" applyAlignment="1">
      <alignment horizontal="left" vertical="center" wrapText="1"/>
    </xf>
    <xf numFmtId="0" fontId="2" fillId="0" borderId="17" xfId="3" applyBorder="1" applyAlignment="1">
      <alignment horizontal="left" vertical="center" wrapText="1"/>
    </xf>
    <xf numFmtId="0" fontId="2" fillId="0" borderId="0" xfId="3" applyAlignment="1">
      <alignment horizontal="left" vertical="center" wrapText="1"/>
    </xf>
    <xf numFmtId="0" fontId="2" fillId="0" borderId="18" xfId="3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/>
    </xf>
    <xf numFmtId="165" fontId="2" fillId="0" borderId="1" xfId="4" applyNumberFormat="1" applyFont="1" applyBorder="1"/>
    <xf numFmtId="168" fontId="2" fillId="0" borderId="1" xfId="3" applyNumberFormat="1" applyBorder="1"/>
    <xf numFmtId="0" fontId="2" fillId="11" borderId="0" xfId="3" applyFill="1" applyBorder="1"/>
    <xf numFmtId="168" fontId="2" fillId="0" borderId="9" xfId="3" applyNumberFormat="1" applyBorder="1"/>
    <xf numFmtId="0" fontId="2" fillId="11" borderId="2" xfId="3" applyFill="1" applyBorder="1" applyAlignment="1">
      <alignment horizontal="right"/>
    </xf>
    <xf numFmtId="0" fontId="2" fillId="11" borderId="22" xfId="3" applyFill="1" applyBorder="1" applyAlignment="1">
      <alignment horizontal="right"/>
    </xf>
    <xf numFmtId="0" fontId="2" fillId="11" borderId="3" xfId="3" applyFill="1" applyBorder="1" applyAlignment="1">
      <alignment horizontal="right"/>
    </xf>
    <xf numFmtId="0" fontId="2" fillId="0" borderId="0" xfId="3" applyAlignment="1">
      <alignment horizontal="center"/>
    </xf>
    <xf numFmtId="164" fontId="14" fillId="0" borderId="1" xfId="1" applyFont="1" applyFill="1" applyBorder="1" applyAlignment="1" applyProtection="1">
      <alignment horizontal="left"/>
      <protection locked="0"/>
    </xf>
  </cellXfs>
  <cellStyles count="5">
    <cellStyle name="Moeda" xfId="1" builtinId="4"/>
    <cellStyle name="Normal" xfId="0" builtinId="0"/>
    <cellStyle name="Normal 2" xfId="2" xr:uid="{00000000-0005-0000-0000-000002000000}"/>
    <cellStyle name="Normal 3" xfId="3" xr:uid="{00000000-0005-0000-0000-000003000000}"/>
    <cellStyle name="Porcentagem 2" xfId="4" xr:uid="{00000000-0005-0000-0000-000004000000}"/>
  </cellStyles>
  <dxfs count="6">
    <dxf>
      <font>
        <b/>
        <i val="0"/>
        <color rgb="FF00B050"/>
      </font>
    </dxf>
    <dxf>
      <font>
        <b/>
        <i val="0"/>
        <color theme="4" tint="-0.24994659260841701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4"/>
  <sheetViews>
    <sheetView showGridLines="0" zoomScale="120" zoomScaleNormal="120" workbookViewId="0">
      <selection activeCell="L8" sqref="L8"/>
    </sheetView>
  </sheetViews>
  <sheetFormatPr defaultRowHeight="15.75"/>
  <cols>
    <col min="1" max="1" width="4.42578125" style="1" customWidth="1"/>
    <col min="2" max="2" width="11.28515625" style="1" customWidth="1"/>
    <col min="3" max="3" width="9.140625" style="1"/>
    <col min="4" max="4" width="14.85546875" style="1" customWidth="1"/>
    <col min="5" max="5" width="9.140625" style="1"/>
    <col min="6" max="6" width="10.85546875" style="1" customWidth="1"/>
    <col min="7" max="7" width="10.140625" style="1" customWidth="1"/>
    <col min="8" max="8" width="14.7109375" style="1" customWidth="1"/>
    <col min="9" max="16384" width="9.140625" style="1"/>
  </cols>
  <sheetData>
    <row r="2" spans="2:13" ht="18.75">
      <c r="B2" s="30" t="s">
        <v>50</v>
      </c>
      <c r="C2" s="30"/>
      <c r="D2" s="30"/>
      <c r="F2" s="31" t="s">
        <v>49</v>
      </c>
      <c r="G2" s="31"/>
      <c r="H2" s="31"/>
    </row>
    <row r="3" spans="2:13">
      <c r="B3" s="7" t="s">
        <v>48</v>
      </c>
      <c r="C3" s="7" t="s">
        <v>47</v>
      </c>
      <c r="D3" s="7" t="s">
        <v>33</v>
      </c>
      <c r="F3" s="6" t="s">
        <v>46</v>
      </c>
      <c r="G3" s="6" t="s">
        <v>45</v>
      </c>
      <c r="H3" s="6" t="s">
        <v>33</v>
      </c>
    </row>
    <row r="4" spans="2:13">
      <c r="B4" s="3" t="s">
        <v>44</v>
      </c>
      <c r="C4" s="3">
        <v>98</v>
      </c>
      <c r="D4" s="4" t="str" cm="1">
        <f t="array" ref="D4">_xlfn.IFS(C4&gt;=60,"APROVADO",C4&lt;40,"REPROVADO",C4&lt;60,"RECUPERAÇÃO")</f>
        <v>APROVADO</v>
      </c>
      <c r="E4" s="5"/>
      <c r="F4" s="3" t="s">
        <v>44</v>
      </c>
      <c r="G4" s="4" t="s">
        <v>40</v>
      </c>
      <c r="H4" s="3" t="str">
        <f>IF(G4="A","Contratado",IF(G4="B","Experiência",IF(G4="C","Demissão","error")))</f>
        <v>Demissão</v>
      </c>
    </row>
    <row r="5" spans="2:13">
      <c r="B5" s="3" t="s">
        <v>43</v>
      </c>
      <c r="C5" s="3">
        <v>45</v>
      </c>
      <c r="D5" s="4" t="str" cm="1">
        <f t="array" ref="D5">_xlfn.IFS(C5&gt;=60,"APROVADO",C5&lt;40,"REPROVADO",C5&lt;60,"RECUPERAÇÃO")</f>
        <v>RECUPERAÇÃO</v>
      </c>
      <c r="F5" s="3" t="s">
        <v>43</v>
      </c>
      <c r="G5" s="4" t="s">
        <v>36</v>
      </c>
      <c r="H5" s="3" t="str">
        <f t="shared" ref="H5:H9" si="0">IF(G5="A","Contratado",IF(G5="B","Experiência",IF(G5="C","Demissão","error")))</f>
        <v>Contratado</v>
      </c>
    </row>
    <row r="6" spans="2:13">
      <c r="B6" s="3" t="s">
        <v>42</v>
      </c>
      <c r="C6" s="3">
        <v>12</v>
      </c>
      <c r="D6" s="4" t="str" cm="1">
        <f t="array" ref="D6">_xlfn.IFS(C6&gt;=60,"APROVADO",C6&lt;40,"REPROVADO",C6&lt;60,"RECUPERAÇÃO")</f>
        <v>REPROVADO</v>
      </c>
      <c r="F6" s="3" t="s">
        <v>42</v>
      </c>
      <c r="G6" s="4" t="s">
        <v>38</v>
      </c>
      <c r="H6" s="3" t="str">
        <f t="shared" si="0"/>
        <v>Experiência</v>
      </c>
      <c r="L6"/>
      <c r="M6"/>
    </row>
    <row r="7" spans="2:13">
      <c r="B7" s="3" t="s">
        <v>41</v>
      </c>
      <c r="C7" s="3">
        <v>61</v>
      </c>
      <c r="D7" s="4" t="str" cm="1">
        <f t="array" ref="D7">_xlfn.IFS(C7&gt;=60,"APROVADO",C7&lt;40,"REPROVADO",C7&lt;60,"RECUPERAÇÃO")</f>
        <v>APROVADO</v>
      </c>
      <c r="F7" s="3" t="s">
        <v>41</v>
      </c>
      <c r="G7" s="4" t="s">
        <v>40</v>
      </c>
      <c r="H7" s="3" t="str">
        <f t="shared" si="0"/>
        <v>Demissão</v>
      </c>
      <c r="L7"/>
      <c r="M7"/>
    </row>
    <row r="8" spans="2:13">
      <c r="B8" s="3" t="s">
        <v>39</v>
      </c>
      <c r="C8" s="3">
        <v>25</v>
      </c>
      <c r="D8" s="4" t="str" cm="1">
        <f t="array" ref="D8">_xlfn.IFS(C8&gt;=60,"APROVADO",C8&lt;40,"REPROVADO",C8&lt;60,"RECUPERAÇÃO")</f>
        <v>REPROVADO</v>
      </c>
      <c r="F8" s="3" t="s">
        <v>39</v>
      </c>
      <c r="G8" s="4" t="s">
        <v>38</v>
      </c>
      <c r="H8" s="3" t="str">
        <f t="shared" si="0"/>
        <v>Experiência</v>
      </c>
      <c r="L8"/>
      <c r="M8"/>
    </row>
    <row r="9" spans="2:13">
      <c r="B9" s="3" t="s">
        <v>37</v>
      </c>
      <c r="C9" s="3">
        <v>40</v>
      </c>
      <c r="D9" s="4" t="str" cm="1">
        <f t="array" ref="D9">_xlfn.IFS(C9&gt;=60,"APROVADO",C9&lt;40,"REPROVADO",C9&lt;60,"RECUPERAÇÃO")</f>
        <v>RECUPERAÇÃO</v>
      </c>
      <c r="F9" s="3" t="s">
        <v>37</v>
      </c>
      <c r="G9" s="4" t="s">
        <v>36</v>
      </c>
      <c r="H9" s="3" t="str">
        <f t="shared" si="0"/>
        <v>Contratado</v>
      </c>
      <c r="L9"/>
      <c r="M9"/>
    </row>
    <row r="10" spans="2:13">
      <c r="B10" s="1" t="s">
        <v>35</v>
      </c>
      <c r="L10"/>
      <c r="M10"/>
    </row>
    <row r="11" spans="2:13">
      <c r="L11"/>
      <c r="M11"/>
    </row>
    <row r="12" spans="2:13">
      <c r="B12" s="2" t="s">
        <v>33</v>
      </c>
      <c r="C12" s="1" t="s">
        <v>34</v>
      </c>
      <c r="F12" s="2" t="s">
        <v>33</v>
      </c>
      <c r="G12" s="1" t="s">
        <v>32</v>
      </c>
      <c r="L12"/>
      <c r="M12"/>
    </row>
    <row r="13" spans="2:13">
      <c r="C13" s="1" t="s">
        <v>31</v>
      </c>
      <c r="G13" s="1" t="s">
        <v>30</v>
      </c>
      <c r="L13"/>
      <c r="M13"/>
    </row>
    <row r="14" spans="2:13">
      <c r="C14" s="1" t="s">
        <v>29</v>
      </c>
      <c r="G14" s="1" t="s">
        <v>28</v>
      </c>
    </row>
  </sheetData>
  <mergeCells count="2">
    <mergeCell ref="B2:D2"/>
    <mergeCell ref="F2:H2"/>
  </mergeCells>
  <conditionalFormatting sqref="D4:D9">
    <cfRule type="cellIs" dxfId="5" priority="4" operator="equal">
      <formula>"RECUPERAÇÃO"</formula>
    </cfRule>
    <cfRule type="cellIs" dxfId="4" priority="5" operator="equal">
      <formula>"REPROVADO"</formula>
    </cfRule>
    <cfRule type="cellIs" dxfId="3" priority="6" operator="equal">
      <formula>"APROVADO"</formula>
    </cfRule>
  </conditionalFormatting>
  <conditionalFormatting sqref="H4:H9">
    <cfRule type="cellIs" dxfId="2" priority="1" operator="equal">
      <formula>"Demissão"</formula>
    </cfRule>
    <cfRule type="cellIs" dxfId="1" priority="2" operator="equal">
      <formula>"Experiência"</formula>
    </cfRule>
    <cfRule type="cellIs" dxfId="0" priority="3" operator="equal">
      <formula>"Contratado"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showGridLines="0" zoomScale="120" zoomScaleNormal="120" workbookViewId="0">
      <selection activeCell="G24" sqref="G24"/>
    </sheetView>
  </sheetViews>
  <sheetFormatPr defaultRowHeight="12.75"/>
  <cols>
    <col min="1" max="1" width="43.28515625" style="8" bestFit="1" customWidth="1"/>
    <col min="2" max="2" width="11.140625" style="8" customWidth="1"/>
    <col min="3" max="3" width="10.7109375" style="8" customWidth="1"/>
    <col min="4" max="4" width="10.85546875" style="8" customWidth="1"/>
    <col min="5" max="5" width="9.85546875" style="8" customWidth="1"/>
    <col min="6" max="6" width="9.140625" style="8"/>
    <col min="7" max="7" width="12.7109375" style="8" customWidth="1"/>
    <col min="8" max="16384" width="9.140625" style="8"/>
  </cols>
  <sheetData>
    <row r="1" spans="1:7" ht="35.25" customHeight="1" thickBot="1">
      <c r="A1" s="35" t="s">
        <v>51</v>
      </c>
      <c r="B1" s="36"/>
      <c r="C1" s="36"/>
      <c r="D1" s="36"/>
      <c r="E1" s="36"/>
      <c r="F1" s="36"/>
      <c r="G1" s="37"/>
    </row>
    <row r="2" spans="1:7">
      <c r="A2" s="9" t="s">
        <v>52</v>
      </c>
      <c r="B2" s="10" t="s">
        <v>53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</row>
    <row r="3" spans="1:7">
      <c r="A3" s="11" t="s">
        <v>59</v>
      </c>
      <c r="B3" s="50">
        <v>100</v>
      </c>
      <c r="C3" s="50">
        <v>90</v>
      </c>
      <c r="D3" s="50">
        <v>85</v>
      </c>
      <c r="E3" s="50">
        <v>80</v>
      </c>
      <c r="F3" s="50">
        <f>SUM(B3:E3)</f>
        <v>355</v>
      </c>
      <c r="G3" s="49">
        <f>(F3/$B$8)</f>
        <v>0.21580547112462006</v>
      </c>
    </row>
    <row r="4" spans="1:7">
      <c r="A4" s="11" t="s">
        <v>60</v>
      </c>
      <c r="B4" s="50">
        <v>50</v>
      </c>
      <c r="C4" s="50">
        <v>130</v>
      </c>
      <c r="D4" s="50">
        <v>85</v>
      </c>
      <c r="E4" s="50">
        <v>80</v>
      </c>
      <c r="F4" s="50">
        <f t="shared" ref="F4:F7" si="0">SUM(B4:E4)</f>
        <v>345</v>
      </c>
      <c r="G4" s="49">
        <f t="shared" ref="G4:G7" si="1">(F4/$B$8)</f>
        <v>0.20972644376899696</v>
      </c>
    </row>
    <row r="5" spans="1:7">
      <c r="A5" s="11" t="s">
        <v>61</v>
      </c>
      <c r="B5" s="50">
        <v>90</v>
      </c>
      <c r="C5" s="50">
        <v>50</v>
      </c>
      <c r="D5" s="50">
        <v>75</v>
      </c>
      <c r="E5" s="50">
        <v>120</v>
      </c>
      <c r="F5" s="50">
        <f t="shared" si="0"/>
        <v>335</v>
      </c>
      <c r="G5" s="49">
        <f t="shared" si="1"/>
        <v>0.20364741641337386</v>
      </c>
    </row>
    <row r="6" spans="1:7">
      <c r="A6" s="11" t="s">
        <v>62</v>
      </c>
      <c r="B6" s="50">
        <v>150</v>
      </c>
      <c r="C6" s="50">
        <v>40</v>
      </c>
      <c r="D6" s="50">
        <v>120</v>
      </c>
      <c r="E6" s="50">
        <v>80</v>
      </c>
      <c r="F6" s="50">
        <f t="shared" si="0"/>
        <v>390</v>
      </c>
      <c r="G6" s="49">
        <f t="shared" si="1"/>
        <v>0.23708206686930092</v>
      </c>
    </row>
    <row r="7" spans="1:7">
      <c r="A7" s="11" t="s">
        <v>63</v>
      </c>
      <c r="B7" s="50">
        <v>40</v>
      </c>
      <c r="C7" s="50">
        <v>50</v>
      </c>
      <c r="D7" s="50">
        <v>60</v>
      </c>
      <c r="E7" s="50">
        <v>70</v>
      </c>
      <c r="F7" s="50">
        <f t="shared" si="0"/>
        <v>220</v>
      </c>
      <c r="G7" s="49">
        <f t="shared" si="1"/>
        <v>0.1337386018237082</v>
      </c>
    </row>
    <row r="8" spans="1:7">
      <c r="A8" s="13" t="s">
        <v>64</v>
      </c>
      <c r="B8" s="53">
        <f>SUM(B3:E7)</f>
        <v>1645</v>
      </c>
      <c r="C8" s="54"/>
      <c r="D8" s="54"/>
      <c r="E8" s="54"/>
      <c r="F8" s="55"/>
      <c r="G8" s="14"/>
    </row>
    <row r="9" spans="1:7">
      <c r="A9" s="13" t="s">
        <v>65</v>
      </c>
      <c r="B9" s="52">
        <f>MAX(B3:B7)</f>
        <v>150</v>
      </c>
      <c r="C9" s="52">
        <f t="shared" ref="C9:F9" si="2">MAX(C3:C7)</f>
        <v>130</v>
      </c>
      <c r="D9" s="52">
        <f t="shared" si="2"/>
        <v>120</v>
      </c>
      <c r="E9" s="52">
        <f t="shared" si="2"/>
        <v>120</v>
      </c>
      <c r="F9" s="51"/>
      <c r="G9" s="14"/>
    </row>
    <row r="10" spans="1:7">
      <c r="A10" s="13" t="s">
        <v>74</v>
      </c>
      <c r="B10" s="50">
        <f>AVERAGE(B3:B7)</f>
        <v>86</v>
      </c>
      <c r="C10" s="50">
        <f t="shared" ref="C10:E10" si="3">AVERAGE(C3:C7)</f>
        <v>72</v>
      </c>
      <c r="D10" s="50">
        <f t="shared" si="3"/>
        <v>85</v>
      </c>
      <c r="E10" s="50">
        <f t="shared" si="3"/>
        <v>86</v>
      </c>
      <c r="F10" s="51"/>
      <c r="G10" s="14"/>
    </row>
    <row r="11" spans="1:7">
      <c r="A11" s="13" t="s">
        <v>66</v>
      </c>
      <c r="B11" s="12" t="str">
        <f>IF(B9=B3,$A$3,IF(B9=B4,$A$4,IF(B9=B5,$A$5,IF(B9=B6,$A$6,IF(B9=B7,"A7")))))</f>
        <v>Utilidades</v>
      </c>
      <c r="C11" s="12" t="str">
        <f t="shared" ref="C11:E11" si="4">IF(C9=C3,$A$3,IF(C9=C4,$A$4,IF(C9=C5,$A$5,IF(C9=C6,$A$6,IF(C9=C7,"A7")))))</f>
        <v>Feminino</v>
      </c>
      <c r="D11" s="12" t="str">
        <f t="shared" si="4"/>
        <v>Utilidades</v>
      </c>
      <c r="E11" s="12" t="str">
        <f t="shared" si="4"/>
        <v>Infantil</v>
      </c>
      <c r="F11" s="15"/>
      <c r="G11" s="16"/>
    </row>
    <row r="12" spans="1:7">
      <c r="A12" s="17"/>
    </row>
    <row r="13" spans="1:7" ht="13.5" thickBot="1"/>
    <row r="14" spans="1:7" ht="13.5" thickBot="1">
      <c r="A14" s="38" t="s">
        <v>67</v>
      </c>
      <c r="B14" s="39"/>
      <c r="C14" s="39"/>
      <c r="D14" s="39"/>
      <c r="E14" s="40"/>
    </row>
    <row r="15" spans="1:7" ht="12.75" customHeight="1">
      <c r="A15" s="41" t="s">
        <v>68</v>
      </c>
      <c r="B15" s="42"/>
      <c r="C15" s="42"/>
      <c r="D15" s="42"/>
      <c r="E15" s="43"/>
    </row>
    <row r="16" spans="1:7" ht="12.75" customHeight="1">
      <c r="A16" s="44" t="s">
        <v>69</v>
      </c>
      <c r="B16" s="45"/>
      <c r="C16" s="45"/>
      <c r="D16" s="45"/>
      <c r="E16" s="46"/>
    </row>
    <row r="17" spans="1:8">
      <c r="A17" s="44" t="s">
        <v>70</v>
      </c>
      <c r="B17" s="45"/>
      <c r="C17" s="45"/>
      <c r="D17" s="45"/>
      <c r="E17" s="46"/>
    </row>
    <row r="18" spans="1:8" ht="13.5" thickBot="1">
      <c r="A18" s="32" t="s">
        <v>71</v>
      </c>
      <c r="B18" s="33"/>
      <c r="C18" s="33"/>
      <c r="D18" s="33"/>
      <c r="E18" s="34"/>
    </row>
    <row r="22" spans="1:8">
      <c r="H22" s="56"/>
    </row>
  </sheetData>
  <protectedRanges>
    <protectedRange password="CC1D" sqref="B3:B7" name="teste"/>
  </protectedRanges>
  <mergeCells count="7">
    <mergeCell ref="A18:E18"/>
    <mergeCell ref="A1:G1"/>
    <mergeCell ref="A14:E14"/>
    <mergeCell ref="A15:E15"/>
    <mergeCell ref="A16:E16"/>
    <mergeCell ref="A17:E17"/>
    <mergeCell ref="B8:F8"/>
  </mergeCell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showGridLines="0" tabSelected="1" zoomScale="120" zoomScaleNormal="120" workbookViewId="0">
      <selection activeCell="I27" sqref="I27"/>
    </sheetView>
  </sheetViews>
  <sheetFormatPr defaultRowHeight="15"/>
  <cols>
    <col min="1" max="1" width="15.28515625" style="18" customWidth="1"/>
    <col min="2" max="2" width="25.42578125" style="18" customWidth="1"/>
    <col min="3" max="3" width="17.7109375" style="18" customWidth="1"/>
    <col min="4" max="4" width="22.42578125" style="18" customWidth="1"/>
    <col min="5" max="5" width="28.7109375" style="18" customWidth="1"/>
    <col min="6" max="6" width="6" style="18" customWidth="1"/>
    <col min="7" max="7" width="10.28515625" style="18" bestFit="1" customWidth="1"/>
    <col min="8" max="16384" width="9.140625" style="18"/>
  </cols>
  <sheetData>
    <row r="1" spans="1:7" ht="15.75">
      <c r="B1" s="19" t="s">
        <v>0</v>
      </c>
      <c r="C1" s="19" t="s">
        <v>1</v>
      </c>
      <c r="D1" s="20"/>
    </row>
    <row r="2" spans="1:7">
      <c r="B2" s="21" t="s">
        <v>2</v>
      </c>
      <c r="C2" s="22">
        <v>0.12</v>
      </c>
      <c r="D2" s="20"/>
      <c r="G2" s="18" t="s">
        <v>72</v>
      </c>
    </row>
    <row r="3" spans="1:7">
      <c r="B3" s="21" t="s">
        <v>3</v>
      </c>
      <c r="C3" s="22">
        <v>0.11</v>
      </c>
      <c r="D3" s="20"/>
      <c r="G3" s="18" t="s">
        <v>73</v>
      </c>
    </row>
    <row r="4" spans="1:7">
      <c r="B4" s="21" t="s">
        <v>4</v>
      </c>
      <c r="C4" s="22">
        <v>0.13500000000000001</v>
      </c>
      <c r="D4" s="20"/>
    </row>
    <row r="5" spans="1:7">
      <c r="B5" s="21" t="s">
        <v>5</v>
      </c>
      <c r="C5" s="22">
        <v>0.09</v>
      </c>
      <c r="D5" s="20"/>
      <c r="G5" s="18" t="s">
        <v>26</v>
      </c>
    </row>
    <row r="6" spans="1:7">
      <c r="B6" s="21" t="s">
        <v>6</v>
      </c>
      <c r="C6" s="22">
        <v>0.18</v>
      </c>
      <c r="D6" s="20"/>
      <c r="G6" s="18" t="s">
        <v>27</v>
      </c>
    </row>
    <row r="7" spans="1:7">
      <c r="B7" s="20"/>
      <c r="C7" s="20"/>
      <c r="D7" s="20"/>
      <c r="E7" s="20"/>
    </row>
    <row r="8" spans="1:7" ht="15.75">
      <c r="A8" s="19" t="s">
        <v>7</v>
      </c>
      <c r="B8" s="19" t="s">
        <v>20</v>
      </c>
      <c r="C8" s="19" t="s">
        <v>21</v>
      </c>
      <c r="D8" s="19" t="s">
        <v>22</v>
      </c>
      <c r="E8" s="19" t="s">
        <v>23</v>
      </c>
    </row>
    <row r="9" spans="1:7">
      <c r="A9" s="23" t="s">
        <v>8</v>
      </c>
      <c r="B9" s="21" t="s">
        <v>2</v>
      </c>
      <c r="C9" s="57">
        <v>2500</v>
      </c>
      <c r="D9" s="24">
        <f>VLOOKUP(B9,$B$2:$C$6,2,FALSE)*C9</f>
        <v>300</v>
      </c>
      <c r="E9" s="24">
        <f>SUM(C9:D9)</f>
        <v>2800</v>
      </c>
    </row>
    <row r="10" spans="1:7">
      <c r="A10" s="23" t="s">
        <v>9</v>
      </c>
      <c r="B10" s="21" t="s">
        <v>2</v>
      </c>
      <c r="C10" s="57">
        <v>2800</v>
      </c>
      <c r="D10" s="24">
        <f t="shared" ref="D10:D20" si="0">VLOOKUP(B10,$B$2:$C$6,2,FALSE)*C10</f>
        <v>336</v>
      </c>
      <c r="E10" s="24">
        <f t="shared" ref="E10:E20" si="1">SUM(C10:D10)</f>
        <v>3136</v>
      </c>
    </row>
    <row r="11" spans="1:7">
      <c r="A11" s="23" t="s">
        <v>10</v>
      </c>
      <c r="B11" s="21" t="s">
        <v>6</v>
      </c>
      <c r="C11" s="57">
        <v>3136</v>
      </c>
      <c r="D11" s="24">
        <f t="shared" si="0"/>
        <v>564.48</v>
      </c>
      <c r="E11" s="24">
        <f t="shared" si="1"/>
        <v>3700.48</v>
      </c>
    </row>
    <row r="12" spans="1:7">
      <c r="A12" s="23" t="s">
        <v>11</v>
      </c>
      <c r="B12" s="21" t="s">
        <v>3</v>
      </c>
      <c r="C12" s="57">
        <v>3700.48</v>
      </c>
      <c r="D12" s="24">
        <f t="shared" si="0"/>
        <v>407.05279999999999</v>
      </c>
      <c r="E12" s="24">
        <f t="shared" si="1"/>
        <v>4107.5328</v>
      </c>
    </row>
    <row r="13" spans="1:7">
      <c r="A13" s="23" t="s">
        <v>12</v>
      </c>
      <c r="B13" s="21" t="s">
        <v>6</v>
      </c>
      <c r="C13" s="57">
        <v>4107.5328</v>
      </c>
      <c r="D13" s="24">
        <f t="shared" si="0"/>
        <v>739.35590400000001</v>
      </c>
      <c r="E13" s="24">
        <f t="shared" si="1"/>
        <v>4846.888704</v>
      </c>
    </row>
    <row r="14" spans="1:7">
      <c r="A14" s="23" t="s">
        <v>13</v>
      </c>
      <c r="B14" s="21" t="s">
        <v>5</v>
      </c>
      <c r="C14" s="57">
        <v>4846.888704</v>
      </c>
      <c r="D14" s="24">
        <f t="shared" si="0"/>
        <v>436.21998335999996</v>
      </c>
      <c r="E14" s="24">
        <f t="shared" si="1"/>
        <v>5283.1086873599997</v>
      </c>
    </row>
    <row r="15" spans="1:7">
      <c r="A15" s="23" t="s">
        <v>14</v>
      </c>
      <c r="B15" s="21" t="s">
        <v>2</v>
      </c>
      <c r="C15" s="57">
        <v>5283.1086873599997</v>
      </c>
      <c r="D15" s="24">
        <f t="shared" si="0"/>
        <v>633.97304248319995</v>
      </c>
      <c r="E15" s="24">
        <f t="shared" si="1"/>
        <v>5917.0817298431994</v>
      </c>
    </row>
    <row r="16" spans="1:7">
      <c r="A16" s="23" t="s">
        <v>15</v>
      </c>
      <c r="B16" s="21" t="s">
        <v>3</v>
      </c>
      <c r="C16" s="57">
        <v>5917.0817298431994</v>
      </c>
      <c r="D16" s="24">
        <f t="shared" si="0"/>
        <v>650.87899028275194</v>
      </c>
      <c r="E16" s="24">
        <f t="shared" si="1"/>
        <v>6567.9607201259514</v>
      </c>
    </row>
    <row r="17" spans="1:7">
      <c r="A17" s="23" t="s">
        <v>16</v>
      </c>
      <c r="B17" s="21" t="s">
        <v>4</v>
      </c>
      <c r="C17" s="57">
        <v>6715.8877633720313</v>
      </c>
      <c r="D17" s="24">
        <f t="shared" si="0"/>
        <v>906.64484805522432</v>
      </c>
      <c r="E17" s="24">
        <f t="shared" si="1"/>
        <v>7622.5326114272557</v>
      </c>
    </row>
    <row r="18" spans="1:7">
      <c r="A18" s="23" t="s">
        <v>17</v>
      </c>
      <c r="B18" s="21" t="s">
        <v>6</v>
      </c>
      <c r="C18" s="57">
        <v>7320.3176620755139</v>
      </c>
      <c r="D18" s="24">
        <f t="shared" si="0"/>
        <v>1317.6571791735926</v>
      </c>
      <c r="E18" s="24">
        <f t="shared" si="1"/>
        <v>8637.9748412491062</v>
      </c>
    </row>
    <row r="19" spans="1:7">
      <c r="A19" s="23" t="s">
        <v>18</v>
      </c>
      <c r="B19" s="21" t="s">
        <v>2</v>
      </c>
      <c r="C19" s="57">
        <v>8637.9748412491062</v>
      </c>
      <c r="D19" s="24">
        <f t="shared" si="0"/>
        <v>1036.5569809498927</v>
      </c>
      <c r="E19" s="24">
        <f t="shared" si="1"/>
        <v>9674.5318221989983</v>
      </c>
    </row>
    <row r="20" spans="1:7">
      <c r="A20" s="23" t="s">
        <v>19</v>
      </c>
      <c r="B20" s="21" t="s">
        <v>6</v>
      </c>
      <c r="C20" s="57">
        <v>9674.5318221989983</v>
      </c>
      <c r="D20" s="24">
        <f t="shared" si="0"/>
        <v>1741.4157279958197</v>
      </c>
      <c r="E20" s="24">
        <f t="shared" si="1"/>
        <v>11415.947550194818</v>
      </c>
      <c r="G20" s="25"/>
    </row>
    <row r="21" spans="1:7" ht="15.75">
      <c r="B21" s="26" t="s">
        <v>24</v>
      </c>
      <c r="C21" s="27">
        <f>AVERAGE(C9:C20)</f>
        <v>5386.6503341749049</v>
      </c>
      <c r="D21" s="28"/>
      <c r="E21" s="29"/>
    </row>
    <row r="22" spans="1:7" ht="15.75">
      <c r="B22" s="47" t="s">
        <v>25</v>
      </c>
      <c r="C22" s="48"/>
      <c r="D22" s="27">
        <f>SUM(D9:D20)</f>
        <v>9070.235456300481</v>
      </c>
    </row>
  </sheetData>
  <mergeCells count="1">
    <mergeCell ref="B22:C22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Função SE Composta</vt:lpstr>
      <vt:lpstr>Função SE Aninhado</vt:lpstr>
      <vt:lpstr>Função ProcV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Izabela Augusta Andrade Lima</cp:lastModifiedBy>
  <dcterms:created xsi:type="dcterms:W3CDTF">2003-04-23T20:03:43Z</dcterms:created>
  <dcterms:modified xsi:type="dcterms:W3CDTF">2025-08-30T15:17:12Z</dcterms:modified>
</cp:coreProperties>
</file>