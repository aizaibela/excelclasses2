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[MATERIAL] EXCEL\Excel Avançado 0185\"/>
    </mc:Choice>
  </mc:AlternateContent>
  <xr:revisionPtr revIDLastSave="0" documentId="13_ncr:1_{1E7CF7BF-A873-4968-9CDC-DCD3D9FCAC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ção SE Composta" sheetId="4" r:id="rId1"/>
    <sheet name="Função SE Aninhado" sheetId="5" r:id="rId2"/>
    <sheet name="Aplicações - Função PROCV" sheetId="1" r:id="rId3"/>
  </sheets>
  <definedNames>
    <definedName name="quezia">'Aplicações - Função PROCV'!$C$2:$D$6</definedName>
    <definedName name="TOTAL">'Função SE Aninhado'!$G$8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5"/>
  <c r="H3" i="5"/>
  <c r="G8" i="5"/>
  <c r="D9" i="5"/>
  <c r="D10" i="5" s="1"/>
  <c r="E9" i="5"/>
  <c r="F9" i="5"/>
  <c r="F10" i="5" s="1"/>
  <c r="C9" i="5"/>
  <c r="C10" i="5" s="1"/>
  <c r="G4" i="5"/>
  <c r="G5" i="5"/>
  <c r="G6" i="5"/>
  <c r="G7" i="5"/>
  <c r="G3" i="5"/>
  <c r="H5" i="4"/>
  <c r="H6" i="4"/>
  <c r="H7" i="4"/>
  <c r="H8" i="4"/>
  <c r="H9" i="4"/>
  <c r="H4" i="4"/>
  <c r="D5" i="4"/>
  <c r="D6" i="4"/>
  <c r="D7" i="4"/>
  <c r="D8" i="4"/>
  <c r="D9" i="4"/>
  <c r="D4" i="4"/>
  <c r="F9" i="1" l="1"/>
  <c r="H6" i="5"/>
  <c r="H5" i="5"/>
  <c r="H4" i="5"/>
  <c r="H7" i="5"/>
  <c r="D10" i="1" l="1"/>
  <c r="E10" i="1" l="1"/>
  <c r="F10" i="1" l="1"/>
  <c r="D11" i="1" l="1"/>
  <c r="E11" i="1" s="1"/>
  <c r="F11" i="1" l="1"/>
  <c r="D12" i="1" l="1"/>
  <c r="E12" i="1" s="1"/>
  <c r="F12" i="1" s="1"/>
  <c r="D13" i="1" s="1"/>
  <c r="E13" i="1" s="1"/>
  <c r="F13" i="1" s="1"/>
  <c r="D14" i="1" s="1"/>
  <c r="E14" i="1" s="1"/>
  <c r="F14" i="1" s="1"/>
  <c r="D15" i="1" s="1"/>
  <c r="E15" i="1" s="1"/>
  <c r="F15" i="1" s="1"/>
  <c r="D16" i="1" l="1"/>
  <c r="E16" i="1"/>
  <c r="F16" i="1" s="1"/>
  <c r="D17" i="1" s="1"/>
  <c r="E17" i="1" l="1"/>
  <c r="F17" i="1" s="1"/>
  <c r="D18" i="1" s="1"/>
  <c r="E18" i="1" l="1"/>
  <c r="F18" i="1" s="1"/>
  <c r="D19" i="1" s="1"/>
  <c r="E19" i="1" l="1"/>
  <c r="F19" i="1" s="1"/>
  <c r="D20" i="1" s="1"/>
  <c r="E20" i="1" l="1"/>
  <c r="D21" i="1"/>
  <c r="E22" i="1" l="1"/>
  <c r="E21" i="1"/>
  <c r="F20" i="1"/>
  <c r="F21" i="1" s="1"/>
</calcChain>
</file>

<file path=xl/sharedStrings.xml><?xml version="1.0" encoding="utf-8"?>
<sst xmlns="http://schemas.openxmlformats.org/spreadsheetml/2006/main" count="99" uniqueCount="75">
  <si>
    <t>Tipo de Aplicação</t>
  </si>
  <si>
    <t>Taxa</t>
  </si>
  <si>
    <t>Over Night</t>
  </si>
  <si>
    <t>Over Day</t>
  </si>
  <si>
    <t>Over Boo</t>
  </si>
  <si>
    <t>Over Tree</t>
  </si>
  <si>
    <t>Over Dose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</si>
  <si>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</si>
  <si>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</si>
  <si>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</si>
  <si>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</si>
  <si>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</si>
  <si>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</si>
  <si>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</si>
  <si>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</si>
  <si>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</si>
  <si>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</si>
  <si>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</si>
  <si>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</si>
  <si>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</si>
  <si>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Tipo</t>
  </si>
  <si>
    <t>Vr. Aplicado</t>
  </si>
  <si>
    <t>Valor do Lucro</t>
  </si>
  <si>
    <t>Total Aplicação</t>
  </si>
  <si>
    <t>Média Valor Aplicado:</t>
  </si>
  <si>
    <t>Total do Lucro:</t>
  </si>
  <si>
    <t>Faça o cálculo das médias das colunas</t>
  </si>
  <si>
    <t>Total aplicado será o valor aplicado mais o valor do lucro</t>
  </si>
  <si>
    <t>Faça o cálculo do total da coluna valor do lucro</t>
  </si>
  <si>
    <t>Conceito C = Demissão</t>
  </si>
  <si>
    <t>Senão Recuperação</t>
  </si>
  <si>
    <t>Conceito B = Experiência</t>
  </si>
  <si>
    <t>Se Nota &lt; 40 Reprovado</t>
  </si>
  <si>
    <t>Conceito A = Contratado</t>
  </si>
  <si>
    <t>Situação</t>
  </si>
  <si>
    <t>Se Nota &gt;= 60 Aprovado</t>
  </si>
  <si>
    <t xml:space="preserve">  </t>
  </si>
  <si>
    <t>A</t>
  </si>
  <si>
    <t>Davi</t>
  </si>
  <si>
    <t>B</t>
  </si>
  <si>
    <t>Camila</t>
  </si>
  <si>
    <t>C</t>
  </si>
  <si>
    <t>Maria</t>
  </si>
  <si>
    <t>Ana</t>
  </si>
  <si>
    <t>Chico</t>
  </si>
  <si>
    <t>Zé</t>
  </si>
  <si>
    <t>Conceito</t>
  </si>
  <si>
    <t>Vendedor:</t>
  </si>
  <si>
    <t>Nota</t>
  </si>
  <si>
    <t>Aluno:</t>
  </si>
  <si>
    <t>Conceito de Vendas</t>
  </si>
  <si>
    <t>Lista de Alunos</t>
  </si>
  <si>
    <t>LOJAS ROUPAS &amp; CIA LTDA</t>
  </si>
  <si>
    <t>DEPARTAMENTO</t>
  </si>
  <si>
    <t>1ª SEM.</t>
  </si>
  <si>
    <t>2ª SEM.</t>
  </si>
  <si>
    <t>3ª SEM.</t>
  </si>
  <si>
    <t>4ª SEM.</t>
  </si>
  <si>
    <t>TOTAL</t>
  </si>
  <si>
    <t>% TOTAL</t>
  </si>
  <si>
    <t>Masculino</t>
  </si>
  <si>
    <t>Feminino</t>
  </si>
  <si>
    <t>Infantil</t>
  </si>
  <si>
    <t>Utilidades</t>
  </si>
  <si>
    <t>Esportes</t>
  </si>
  <si>
    <t>Total de Vendas</t>
  </si>
  <si>
    <t>Depart. Obteve Maior Venda Semanal</t>
  </si>
  <si>
    <t>ATIVIDADE</t>
  </si>
  <si>
    <t>1- Calcular o total mensal de cada Departamento.</t>
  </si>
  <si>
    <t>2- Calcular a porcentagem de cada Departamento em relação ao Total Geral</t>
  </si>
  <si>
    <t>4- Mostrar o nome Departamento que obteve maior venda semanal</t>
  </si>
  <si>
    <t>3- Calcular a maior venda de cada semana</t>
  </si>
  <si>
    <t>Usando a função ProcV, multiplique o valor aplicado pela a porcentagem da aplicação.</t>
  </si>
  <si>
    <r>
      <t xml:space="preserve">Maior Venda Semanal </t>
    </r>
    <r>
      <rPr>
        <b/>
        <sz val="12"/>
        <color rgb="FFFF0000"/>
        <rFont val="Aharoni"/>
        <charset val="177"/>
      </rPr>
      <t xml:space="preserve"> (Usaremos a função MAIOR)</t>
    </r>
  </si>
  <si>
    <t>Função SE Aninhada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</si>
</sst>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&quot;R$ &quot;* #,##0.00_-;\-&quot;R$ &quot;* #,##0.00_-;_-&quot;R$ &quot;* &quot;-&quot;??_-;_-@_-"/>
    <numFmt numFmtId="166" formatCode="0.0%"/>
    <numFmt numFmtId="168" formatCode="0\ &quot;un&quot;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0"/>
      <name val="Bodoni Bk BT"/>
    </font>
    <font>
      <sz val="11"/>
      <name val="Arial"/>
      <family val="2"/>
    </font>
    <font>
      <b/>
      <sz val="11"/>
      <name val="Arial"/>
      <family val="2"/>
    </font>
    <font>
      <sz val="11"/>
      <color rgb="FF002060"/>
      <name val="Arial"/>
      <family val="2"/>
    </font>
    <font>
      <b/>
      <sz val="12"/>
      <name val="Aharoni"/>
      <charset val="177"/>
    </font>
    <font>
      <b/>
      <sz val="12"/>
      <color rgb="FFFF0000"/>
      <name val="Aharoni"/>
      <charset val="177"/>
    </font>
    <font>
      <b/>
      <sz val="12"/>
      <name val="Arial"/>
      <family val="2"/>
    </font>
    <font>
      <i/>
      <sz val="11"/>
      <name val="Arial"/>
      <family val="2"/>
    </font>
    <font>
      <b/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2" applyFont="1"/>
    <xf numFmtId="0" fontId="4" fillId="2" borderId="0" xfId="2" applyFont="1" applyFill="1"/>
    <xf numFmtId="0" fontId="3" fillId="0" borderId="1" xfId="2" applyFont="1" applyBorder="1"/>
    <xf numFmtId="0" fontId="3" fillId="0" borderId="1" xfId="2" applyFont="1" applyBorder="1" applyAlignment="1">
      <alignment horizontal="center"/>
    </xf>
    <xf numFmtId="0" fontId="3" fillId="0" borderId="0" xfId="2" quotePrefix="1" applyFont="1"/>
    <xf numFmtId="0" fontId="5" fillId="5" borderId="1" xfId="2" applyFont="1" applyFill="1" applyBorder="1"/>
    <xf numFmtId="0" fontId="5" fillId="6" borderId="1" xfId="2" applyFont="1" applyFill="1" applyBorder="1"/>
    <xf numFmtId="0" fontId="2" fillId="0" borderId="0" xfId="3"/>
    <xf numFmtId="0" fontId="2" fillId="10" borderId="12" xfId="3" applyFill="1" applyBorder="1"/>
    <xf numFmtId="0" fontId="2" fillId="10" borderId="4" xfId="3" applyFill="1" applyBorder="1"/>
    <xf numFmtId="0" fontId="2" fillId="10" borderId="13" xfId="3" applyFill="1" applyBorder="1"/>
    <xf numFmtId="0" fontId="2" fillId="10" borderId="14" xfId="3" applyFill="1" applyBorder="1"/>
    <xf numFmtId="0" fontId="7" fillId="0" borderId="0" xfId="3" applyFont="1"/>
    <xf numFmtId="0" fontId="10" fillId="8" borderId="8" xfId="3" applyFont="1" applyFill="1" applyBorder="1" applyAlignment="1">
      <alignment horizontal="center" vertical="center"/>
    </xf>
    <xf numFmtId="0" fontId="10" fillId="8" borderId="9" xfId="3" applyFont="1" applyFill="1" applyBorder="1" applyAlignment="1">
      <alignment horizontal="center" vertical="center"/>
    </xf>
    <xf numFmtId="0" fontId="12" fillId="0" borderId="10" xfId="3" applyFont="1" applyBorder="1"/>
    <xf numFmtId="168" fontId="9" fillId="0" borderId="1" xfId="3" applyNumberFormat="1" applyFont="1" applyBorder="1"/>
    <xf numFmtId="0" fontId="11" fillId="9" borderId="10" xfId="3" applyFont="1" applyFill="1" applyBorder="1" applyAlignment="1">
      <alignment vertical="center"/>
    </xf>
    <xf numFmtId="166" fontId="9" fillId="0" borderId="1" xfId="4" applyNumberFormat="1" applyFont="1" applyBorder="1" applyAlignment="1">
      <alignment horizontal="center" vertical="center"/>
    </xf>
    <xf numFmtId="0" fontId="14" fillId="8" borderId="0" xfId="3" applyFont="1" applyFill="1"/>
    <xf numFmtId="0" fontId="9" fillId="0" borderId="1" xfId="3" applyFont="1" applyBorder="1" applyAlignment="1">
      <alignment horizontal="center" vertical="center"/>
    </xf>
    <xf numFmtId="0" fontId="6" fillId="7" borderId="1" xfId="2" applyFont="1" applyFill="1" applyBorder="1" applyAlignment="1">
      <alignment horizontal="center"/>
    </xf>
    <xf numFmtId="0" fontId="6" fillId="3" borderId="1" xfId="2" applyFont="1" applyFill="1" applyBorder="1" applyAlignment="1">
      <alignment horizontal="center"/>
    </xf>
    <xf numFmtId="0" fontId="15" fillId="0" borderId="20" xfId="3" applyFont="1" applyBorder="1" applyAlignment="1">
      <alignment horizontal="left" vertical="center" wrapText="1"/>
    </xf>
    <xf numFmtId="0" fontId="15" fillId="0" borderId="21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8" fillId="2" borderId="5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center" vertical="center"/>
    </xf>
    <xf numFmtId="0" fontId="8" fillId="2" borderId="7" xfId="3" applyFont="1" applyFill="1" applyBorder="1" applyAlignment="1">
      <alignment horizontal="center" vertical="center"/>
    </xf>
    <xf numFmtId="0" fontId="2" fillId="10" borderId="2" xfId="3" applyFill="1" applyBorder="1" applyAlignment="1">
      <alignment horizontal="center"/>
    </xf>
    <xf numFmtId="0" fontId="2" fillId="10" borderId="11" xfId="3" applyFill="1" applyBorder="1" applyAlignment="1">
      <alignment horizontal="center"/>
    </xf>
    <xf numFmtId="0" fontId="14" fillId="11" borderId="5" xfId="3" applyFont="1" applyFill="1" applyBorder="1" applyAlignment="1">
      <alignment horizontal="center" vertical="center"/>
    </xf>
    <xf numFmtId="0" fontId="14" fillId="11" borderId="6" xfId="3" applyFont="1" applyFill="1" applyBorder="1" applyAlignment="1">
      <alignment horizontal="center" vertical="center"/>
    </xf>
    <xf numFmtId="0" fontId="14" fillId="11" borderId="7" xfId="3" applyFont="1" applyFill="1" applyBorder="1" applyAlignment="1">
      <alignment horizontal="center" vertical="center"/>
    </xf>
    <xf numFmtId="0" fontId="15" fillId="0" borderId="15" xfId="3" applyFont="1" applyBorder="1" applyAlignment="1">
      <alignment horizontal="left" vertical="center" wrapText="1"/>
    </xf>
    <xf numFmtId="0" fontId="15" fillId="0" borderId="16" xfId="3" applyFont="1" applyBorder="1" applyAlignment="1">
      <alignment horizontal="left" vertical="center" wrapText="1"/>
    </xf>
    <xf numFmtId="0" fontId="15" fillId="0" borderId="17" xfId="3" applyFont="1" applyBorder="1" applyAlignment="1">
      <alignment horizontal="left" vertical="center" wrapText="1"/>
    </xf>
    <xf numFmtId="0" fontId="15" fillId="0" borderId="18" xfId="3" applyFont="1" applyBorder="1" applyAlignment="1">
      <alignment horizontal="left" vertical="center" wrapText="1"/>
    </xf>
    <xf numFmtId="0" fontId="15" fillId="0" borderId="0" xfId="3" applyFont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9" fillId="0" borderId="0" xfId="0" applyFont="1" applyProtection="1">
      <protection hidden="1"/>
    </xf>
    <xf numFmtId="0" fontId="16" fillId="2" borderId="1" xfId="0" applyFont="1" applyFill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left"/>
      <protection hidden="1"/>
    </xf>
    <xf numFmtId="0" fontId="15" fillId="0" borderId="1" xfId="0" applyFont="1" applyBorder="1" applyAlignment="1" applyProtection="1">
      <alignment horizontal="left"/>
      <protection hidden="1"/>
    </xf>
    <xf numFmtId="166" fontId="9" fillId="0" borderId="1" xfId="0" applyNumberFormat="1" applyFont="1" applyBorder="1" applyAlignment="1" applyProtection="1">
      <alignment horizontal="right"/>
      <protection hidden="1"/>
    </xf>
    <xf numFmtId="0" fontId="9" fillId="3" borderId="1" xfId="0" applyFont="1" applyFill="1" applyBorder="1" applyAlignment="1" applyProtection="1">
      <alignment horizontal="left"/>
      <protection hidden="1"/>
    </xf>
    <xf numFmtId="0" fontId="15" fillId="0" borderId="1" xfId="0" applyFont="1" applyBorder="1" applyAlignment="1" applyProtection="1">
      <alignment horizontal="left"/>
      <protection locked="0"/>
    </xf>
    <xf numFmtId="165" fontId="9" fillId="0" borderId="1" xfId="1" applyFont="1" applyFill="1" applyBorder="1" applyAlignment="1" applyProtection="1">
      <alignment horizontal="left"/>
      <protection locked="0"/>
    </xf>
    <xf numFmtId="165" fontId="9" fillId="0" borderId="1" xfId="1" applyFont="1" applyFill="1" applyBorder="1" applyAlignment="1" applyProtection="1">
      <alignment horizontal="left"/>
      <protection hidden="1"/>
    </xf>
    <xf numFmtId="164" fontId="9" fillId="0" borderId="0" xfId="0" applyNumberFormat="1" applyFont="1" applyProtection="1">
      <protection hidden="1"/>
    </xf>
    <xf numFmtId="0" fontId="10" fillId="4" borderId="1" xfId="0" applyFont="1" applyFill="1" applyBorder="1" applyAlignment="1" applyProtection="1">
      <alignment horizontal="left"/>
      <protection hidden="1"/>
    </xf>
    <xf numFmtId="165" fontId="9" fillId="0" borderId="1" xfId="0" applyNumberFormat="1" applyFont="1" applyBorder="1" applyAlignment="1" applyProtection="1">
      <alignment horizontal="left"/>
      <protection hidden="1"/>
    </xf>
    <xf numFmtId="0" fontId="10" fillId="4" borderId="2" xfId="0" applyFont="1" applyFill="1" applyBorder="1" applyAlignment="1" applyProtection="1">
      <alignment horizontal="center"/>
      <protection hidden="1"/>
    </xf>
    <xf numFmtId="0" fontId="10" fillId="4" borderId="3" xfId="0" applyFont="1" applyFill="1" applyBorder="1" applyAlignment="1" applyProtection="1">
      <alignment horizontal="center"/>
      <protection hidden="1"/>
    </xf>
  </cellXfs>
  <cellStyles count="5">
    <cellStyle name="Moeda" xfId="1" builtinId="4"/>
    <cellStyle name="Normal" xfId="0" builtinId="0"/>
    <cellStyle name="Normal 2" xfId="2" xr:uid="{00000000-0005-0000-0000-000002000000}"/>
    <cellStyle name="Normal 3" xfId="3" xr:uid="{00000000-0005-0000-0000-000003000000}"/>
    <cellStyle name="Porcentagem 2" xfId="4" xr:uid="{00000000-0005-0000-0000-000004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741045</xdr:colOff>
      <xdr:row>3</xdr:row>
      <xdr:rowOff>31178</xdr:rowOff>
    </xdr:from>
    <xdr:to>
      <xdr:col>8</xdr:col>
      <xdr:colOff>518159</xdr:colOff>
      <xdr:row>3</xdr:row>
      <xdr:rowOff>118110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B62E11BD-B5F4-7194-789B-369C445038B4}"/>
            </a:ext>
          </a:extLst>
        </xdr:cNvPr>
        <xdr:cNvCxnSpPr>
          <a:endCxn id="3" idx="1"/>
        </xdr:cNvCxnSpPr>
      </xdr:nvCxnSpPr>
      <xdr:spPr>
        <a:xfrm flipV="1">
          <a:off x="5404485" y="663638"/>
          <a:ext cx="760094" cy="8693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750570</xdr:colOff>
      <xdr:row>2</xdr:row>
      <xdr:rowOff>83820</xdr:rowOff>
    </xdr:from>
    <xdr:to>
      <xdr:col>16</xdr:col>
      <xdr:colOff>233264</xdr:colOff>
      <xdr:row>3</xdr:row>
      <xdr:rowOff>157605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1033E5FF-7547-6D6F-0A0D-441DC9AE1932}"/>
            </a:ext>
          </a:extLst>
        </xdr:cNvPr>
        <xdr:cNvGrpSpPr/>
      </xdr:nvGrpSpPr>
      <xdr:grpSpPr>
        <a:xfrm>
          <a:off x="5408295" y="521970"/>
          <a:ext cx="5340569" cy="273810"/>
          <a:chOff x="5414010" y="518160"/>
          <a:chExt cx="5342474" cy="271905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80ADBC39-32DA-D49B-E884-46241C8C8280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173292" y="518160"/>
            <a:ext cx="4583192" cy="271905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cxnSp macro="">
        <xdr:nvCxnSpPr>
          <xdr:cNvPr id="8" name="Conector de Seta Reta 7">
            <a:extLst>
              <a:ext uri="{FF2B5EF4-FFF2-40B4-BE49-F238E27FC236}">
                <a16:creationId xmlns:a16="http://schemas.microsoft.com/office/drawing/2014/main" id="{5A326C18-1285-4AB1-9767-98BD13C3C3F2}"/>
              </a:ext>
            </a:extLst>
          </xdr:cNvPr>
          <xdr:cNvCxnSpPr/>
        </xdr:nvCxnSpPr>
        <xdr:spPr>
          <a:xfrm flipV="1">
            <a:off x="5414010" y="665543"/>
            <a:ext cx="759282" cy="81217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904875</xdr:colOff>
      <xdr:row>3</xdr:row>
      <xdr:rowOff>104775</xdr:rowOff>
    </xdr:from>
    <xdr:to>
      <xdr:col>11</xdr:col>
      <xdr:colOff>225646</xdr:colOff>
      <xdr:row>15</xdr:row>
      <xdr:rowOff>174750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83CC3B9-962F-E08D-2BA5-5FB985980C21}"/>
            </a:ext>
          </a:extLst>
        </xdr:cNvPr>
        <xdr:cNvGrpSpPr/>
      </xdr:nvGrpSpPr>
      <xdr:grpSpPr>
        <a:xfrm>
          <a:off x="2562225" y="742950"/>
          <a:ext cx="5131021" cy="2470275"/>
          <a:chOff x="2566035" y="737235"/>
          <a:chExt cx="5134831" cy="2447415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760B7006-DE55-B0FB-22BA-45FC50B2B08D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08961" y="2914650"/>
            <a:ext cx="4591905" cy="270000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cxnSp macro="">
        <xdr:nvCxnSpPr>
          <xdr:cNvPr id="9" name="Conector de Seta Reta 8">
            <a:extLst>
              <a:ext uri="{FF2B5EF4-FFF2-40B4-BE49-F238E27FC236}">
                <a16:creationId xmlns:a16="http://schemas.microsoft.com/office/drawing/2014/main" id="{2195075F-02BB-4D66-A701-0642A9B7AF9C}"/>
              </a:ext>
            </a:extLst>
          </xdr:cNvPr>
          <xdr:cNvCxnSpPr/>
        </xdr:nvCxnSpPr>
        <xdr:spPr>
          <a:xfrm>
            <a:off x="2566035" y="737235"/>
            <a:ext cx="581025" cy="218313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275765</xdr:colOff>
      <xdr:row>17</xdr:row>
      <xdr:rowOff>81916</xdr:rowOff>
    </xdr:from>
    <xdr:to>
      <xdr:col>8</xdr:col>
      <xdr:colOff>163830</xdr:colOff>
      <xdr:row>26</xdr:row>
      <xdr:rowOff>70486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65C4588-24A8-0ABD-CCF0-911CC4A91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7026" b="25764"/>
        <a:stretch/>
      </xdr:blipFill>
      <xdr:spPr>
        <a:xfrm>
          <a:off x="275765" y="3488056"/>
          <a:ext cx="5534485" cy="17716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11430</xdr:colOff>
      <xdr:row>27</xdr:row>
      <xdr:rowOff>188595</xdr:rowOff>
    </xdr:from>
    <xdr:to>
      <xdr:col>12</xdr:col>
      <xdr:colOff>92314</xdr:colOff>
      <xdr:row>33</xdr:row>
      <xdr:rowOff>100965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1920072-6BCA-8817-76C8-275A8920E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2790" y="5575935"/>
          <a:ext cx="4904344" cy="110109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3811</xdr:colOff>
      <xdr:row>25</xdr:row>
      <xdr:rowOff>150495</xdr:rowOff>
    </xdr:from>
    <xdr:to>
      <xdr:col>4</xdr:col>
      <xdr:colOff>561976</xdr:colOff>
      <xdr:row>30</xdr:row>
      <xdr:rowOff>181928</xdr:rowOff>
    </xdr:to>
    <xdr:cxnSp macro="">
      <xdr:nvCxnSpPr>
        <xdr:cNvPr id="24" name="Conector: Curvo 23">
          <a:extLst>
            <a:ext uri="{FF2B5EF4-FFF2-40B4-BE49-F238E27FC236}">
              <a16:creationId xmlns:a16="http://schemas.microsoft.com/office/drawing/2014/main" id="{1CDA12B8-3719-6070-5052-009E8F502DA8}"/>
            </a:ext>
          </a:extLst>
        </xdr:cNvPr>
        <xdr:cNvCxnSpPr/>
      </xdr:nvCxnSpPr>
      <xdr:spPr>
        <a:xfrm rot="16200000" flipH="1">
          <a:off x="2422684" y="5374482"/>
          <a:ext cx="1018223" cy="552450"/>
        </a:xfrm>
        <a:prstGeom prst="curved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8</xdr:row>
      <xdr:rowOff>66675</xdr:rowOff>
    </xdr:from>
    <xdr:to>
      <xdr:col>11</xdr:col>
      <xdr:colOff>341224</xdr:colOff>
      <xdr:row>18</xdr:row>
      <xdr:rowOff>18638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BCCD4485-3126-0A2D-6633-68553B837EC6}"/>
            </a:ext>
          </a:extLst>
        </xdr:cNvPr>
        <xdr:cNvGrpSpPr/>
      </xdr:nvGrpSpPr>
      <xdr:grpSpPr>
        <a:xfrm>
          <a:off x="7429500" y="2181225"/>
          <a:ext cx="3894049" cy="2247488"/>
          <a:chOff x="7429500" y="2181225"/>
          <a:chExt cx="3894049" cy="2180813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0CCF269F-A4D1-7FAD-98BA-43F4305366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429500" y="2819400"/>
            <a:ext cx="3515216" cy="390580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3" name="Seta: para Baixo 2">
            <a:extLst>
              <a:ext uri="{FF2B5EF4-FFF2-40B4-BE49-F238E27FC236}">
                <a16:creationId xmlns:a16="http://schemas.microsoft.com/office/drawing/2014/main" id="{3F7C9366-E872-D7BF-33A4-3097C779A560}"/>
              </a:ext>
            </a:extLst>
          </xdr:cNvPr>
          <xdr:cNvSpPr/>
        </xdr:nvSpPr>
        <xdr:spPr>
          <a:xfrm>
            <a:off x="7686675" y="2181225"/>
            <a:ext cx="257175" cy="609599"/>
          </a:xfrm>
          <a:prstGeom prst="downArrow">
            <a:avLst/>
          </a:prstGeom>
          <a:gradFill flip="none" rotWithShape="1">
            <a:gsLst>
              <a:gs pos="0">
                <a:srgbClr val="FF0000">
                  <a:tint val="66000"/>
                  <a:satMod val="160000"/>
                  <a:shade val="30000"/>
                  <a:satMod val="115000"/>
                </a:srgbClr>
              </a:gs>
              <a:gs pos="50000">
                <a:srgbClr val="FF0000">
                  <a:tint val="66000"/>
                  <a:satMod val="160000"/>
                  <a:shade val="67500"/>
                  <a:satMod val="115000"/>
                </a:srgbClr>
              </a:gs>
              <a:gs pos="100000">
                <a:srgbClr val="FF0000">
                  <a:tint val="66000"/>
                  <a:satMod val="160000"/>
                  <a:shade val="100000"/>
                  <a:satMod val="115000"/>
                </a:srgbClr>
              </a:gs>
            </a:gsLst>
            <a:lin ang="0" scaled="1"/>
            <a:tileRect/>
          </a:gra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Imagem 3">
            <a:extLst>
              <a:ext uri="{FF2B5EF4-FFF2-40B4-BE49-F238E27FC236}">
                <a16:creationId xmlns:a16="http://schemas.microsoft.com/office/drawing/2014/main" id="{36723FA9-5FBC-04C2-CA48-0F8CF15560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553325" y="3371850"/>
            <a:ext cx="714475" cy="781159"/>
          </a:xfrm>
          <a:prstGeom prst="rect">
            <a:avLst/>
          </a:prstGeom>
          <a:solidFill>
            <a:srgbClr val="FFFFFF">
              <a:shade val="85000"/>
            </a:srgbClr>
          </a:solidFill>
          <a:ln w="889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4CB1BA1B-12D6-447D-6BC1-89CE9A6F28A6}"/>
              </a:ext>
            </a:extLst>
          </xdr:cNvPr>
          <xdr:cNvSpPr txBox="1"/>
        </xdr:nvSpPr>
        <xdr:spPr>
          <a:xfrm>
            <a:off x="8496300" y="3314700"/>
            <a:ext cx="2827249" cy="10473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400" b="1" u="sng">
                <a:solidFill>
                  <a:srgbClr val="FF0000"/>
                </a:solidFill>
              </a:rPr>
              <a:t>Nomear Célula ou Grupo de Células</a:t>
            </a:r>
            <a:br>
              <a:rPr lang="pt-BR" sz="1100" b="1"/>
            </a:br>
            <a:br>
              <a:rPr lang="pt-BR" sz="1100" b="1"/>
            </a:br>
            <a:r>
              <a:rPr lang="pt-BR" sz="1200" b="1"/>
              <a:t>Faixa de Opções: Fórmulas</a:t>
            </a:r>
            <a:br>
              <a:rPr lang="pt-BR" sz="1200" b="1"/>
            </a:br>
            <a:r>
              <a:rPr lang="pt-BR" sz="1200" b="1"/>
              <a:t>Grupo: Nomes Definidos</a:t>
            </a:r>
            <a:br>
              <a:rPr lang="pt-BR" sz="1200" b="1"/>
            </a:br>
            <a:r>
              <a:rPr lang="pt-BR" sz="1200" b="1"/>
              <a:t>Botão: Gerenciador de Nomes</a:t>
            </a:r>
            <a:endParaRPr lang="pt-BR" sz="1100" b="1"/>
          </a:p>
        </xdr:txBody>
      </xdr:sp>
    </xdr:grpSp>
    <xdr:clientData/>
  </xdr:twoCellAnchor>
  <xdr:twoCellAnchor>
    <xdr:from>
      <xdr:col>7</xdr:col>
      <xdr:colOff>714375</xdr:colOff>
      <xdr:row>0</xdr:row>
      <xdr:rowOff>257175</xdr:rowOff>
    </xdr:from>
    <xdr:to>
      <xdr:col>12</xdr:col>
      <xdr:colOff>540073</xdr:colOff>
      <xdr:row>10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E4DA8322-C9B7-B8C1-3E38-F51A3549E203}"/>
            </a:ext>
          </a:extLst>
        </xdr:cNvPr>
        <xdr:cNvGrpSpPr/>
      </xdr:nvGrpSpPr>
      <xdr:grpSpPr>
        <a:xfrm>
          <a:off x="8810625" y="257175"/>
          <a:ext cx="3321373" cy="2466975"/>
          <a:chOff x="8810625" y="257175"/>
          <a:chExt cx="3321373" cy="2400300"/>
        </a:xfrm>
      </xdr:grpSpPr>
      <xdr:pic>
        <xdr:nvPicPr>
          <xdr:cNvPr id="7" name="Imagem 6">
            <a:extLst>
              <a:ext uri="{FF2B5EF4-FFF2-40B4-BE49-F238E27FC236}">
                <a16:creationId xmlns:a16="http://schemas.microsoft.com/office/drawing/2014/main" id="{B996FD40-EF9C-24C5-7F08-3CA1DEF926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610725" y="257175"/>
            <a:ext cx="1810003" cy="352474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cxnSp macro="">
        <xdr:nvCxnSpPr>
          <xdr:cNvPr id="9" name="Conector de Seta Reta 8">
            <a:extLst>
              <a:ext uri="{FF2B5EF4-FFF2-40B4-BE49-F238E27FC236}">
                <a16:creationId xmlns:a16="http://schemas.microsoft.com/office/drawing/2014/main" id="{4D05F1AF-DB19-F1C1-C147-921AAF6692F6}"/>
              </a:ext>
            </a:extLst>
          </xdr:cNvPr>
          <xdr:cNvCxnSpPr>
            <a:endCxn id="7" idx="1"/>
          </xdr:cNvCxnSpPr>
        </xdr:nvCxnSpPr>
        <xdr:spPr>
          <a:xfrm flipV="1">
            <a:off x="8839200" y="433412"/>
            <a:ext cx="771525" cy="452413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08BED329-B9A2-8D84-AA23-43931E0E43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667875" y="847725"/>
            <a:ext cx="2464123" cy="1809750"/>
          </a:xfrm>
          <a:prstGeom prst="rect">
            <a:avLst/>
          </a:prstGeom>
        </xdr:spPr>
      </xdr:pic>
      <xdr:cxnSp macro="">
        <xdr:nvCxnSpPr>
          <xdr:cNvPr id="14" name="Conector de Seta Reta 13">
            <a:extLst>
              <a:ext uri="{FF2B5EF4-FFF2-40B4-BE49-F238E27FC236}">
                <a16:creationId xmlns:a16="http://schemas.microsoft.com/office/drawing/2014/main" id="{95EAED96-D828-4EA5-A82E-21283F201D86}"/>
              </a:ext>
            </a:extLst>
          </xdr:cNvPr>
          <xdr:cNvCxnSpPr/>
        </xdr:nvCxnSpPr>
        <xdr:spPr>
          <a:xfrm>
            <a:off x="8810625" y="1800225"/>
            <a:ext cx="847725" cy="64770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FFAAAAA-65F2-315C-E4CC-63EE57642422}"/>
              </a:ext>
            </a:extLst>
          </xdr:cNvPr>
          <xdr:cNvSpPr/>
        </xdr:nvSpPr>
        <xdr:spPr>
          <a:xfrm>
            <a:off x="10934699" y="923925"/>
            <a:ext cx="733425" cy="895350"/>
          </a:xfrm>
          <a:prstGeom prst="roundRect">
            <a:avLst/>
          </a:prstGeom>
          <a:noFill/>
          <a:ln w="19050">
            <a:solidFill>
              <a:srgbClr val="FF0000"/>
            </a:solidFill>
          </a:ln>
          <a:effectLst>
            <a:glow rad="101600">
              <a:schemeClr val="accent3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</xdr:col>
      <xdr:colOff>9524</xdr:colOff>
      <xdr:row>10</xdr:row>
      <xdr:rowOff>9525</xdr:rowOff>
    </xdr:from>
    <xdr:to>
      <xdr:col>13</xdr:col>
      <xdr:colOff>199343</xdr:colOff>
      <xdr:row>33</xdr:row>
      <xdr:rowOff>95250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2CDD01C1-0E9C-DC07-2094-DE1B3DE3076E}"/>
            </a:ext>
          </a:extLst>
        </xdr:cNvPr>
        <xdr:cNvGrpSpPr/>
      </xdr:nvGrpSpPr>
      <xdr:grpSpPr>
        <a:xfrm>
          <a:off x="457199" y="2590800"/>
          <a:ext cx="11943669" cy="4381500"/>
          <a:chOff x="457199" y="2590800"/>
          <a:chExt cx="11943669" cy="4381500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FECB54F2-9F40-23CA-65AD-11BEB91FAA8B}"/>
              </a:ext>
            </a:extLst>
          </xdr:cNvPr>
          <xdr:cNvGrpSpPr/>
        </xdr:nvGrpSpPr>
        <xdr:grpSpPr>
          <a:xfrm>
            <a:off x="457199" y="2590800"/>
            <a:ext cx="6715126" cy="4371975"/>
            <a:chOff x="457199" y="2590800"/>
            <a:chExt cx="6715126" cy="4371975"/>
          </a:xfrm>
        </xdr:grpSpPr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CC76D917-7911-8C90-FB8B-81B8BFD919FC}"/>
                </a:ext>
              </a:extLst>
            </xdr:cNvPr>
            <xdr:cNvGrpSpPr/>
          </xdr:nvGrpSpPr>
          <xdr:grpSpPr>
            <a:xfrm>
              <a:off x="457199" y="2590800"/>
              <a:ext cx="6715126" cy="2803724"/>
              <a:chOff x="457199" y="2590800"/>
              <a:chExt cx="6715126" cy="2803724"/>
            </a:xfrm>
          </xdr:grpSpPr>
          <xdr:pic>
            <xdr:nvPicPr>
              <xdr:cNvPr id="18" name="Imagem 17">
                <a:extLst>
                  <a:ext uri="{FF2B5EF4-FFF2-40B4-BE49-F238E27FC236}">
                    <a16:creationId xmlns:a16="http://schemas.microsoft.com/office/drawing/2014/main" id="{C65BE740-FE82-F517-5AAD-0ECDE6F8760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457199" y="4962524"/>
                <a:ext cx="6104834" cy="432000"/>
              </a:xfrm>
              <a:prstGeom prst="rect">
                <a:avLst/>
              </a:prstGeom>
              <a:solidFill>
                <a:srgbClr val="FFFFFF">
                  <a:shade val="85000"/>
                </a:srgbClr>
              </a:solidFill>
              <a:ln w="88900" cap="sq">
                <a:solidFill>
                  <a:srgbClr val="FFFFFF"/>
                </a:solidFill>
                <a:miter lim="800000"/>
              </a:ln>
              <a:effectLst>
                <a:outerShdw blurRad="55000" dist="18000" dir="5400000" algn="tl" rotWithShape="0">
                  <a:srgbClr val="000000">
                    <a:alpha val="40000"/>
                  </a:srgbClr>
                </a:outerShdw>
              </a:effectLst>
              <a:scene3d>
                <a:camera prst="orthographicFront"/>
                <a:lightRig rig="twoPt" dir="t">
                  <a:rot lat="0" lon="0" rev="7200000"/>
                </a:lightRig>
              </a:scene3d>
              <a:sp3d>
                <a:bevelT w="25400" h="19050"/>
                <a:contourClr>
                  <a:srgbClr val="FFFFFF"/>
                </a:contourClr>
              </a:sp3d>
            </xdr:spPr>
          </xdr:pic>
          <xdr:cxnSp macro="">
            <xdr:nvCxnSpPr>
              <xdr:cNvPr id="27" name="Conector reto 26">
                <a:extLst>
                  <a:ext uri="{FF2B5EF4-FFF2-40B4-BE49-F238E27FC236}">
                    <a16:creationId xmlns:a16="http://schemas.microsoft.com/office/drawing/2014/main" id="{03817512-4001-5CF9-D612-58B66394C7FD}"/>
                  </a:ext>
                </a:extLst>
              </xdr:cNvPr>
              <xdr:cNvCxnSpPr/>
            </xdr:nvCxnSpPr>
            <xdr:spPr>
              <a:xfrm>
                <a:off x="4381500" y="2590800"/>
                <a:ext cx="2790825" cy="9525"/>
              </a:xfrm>
              <a:prstGeom prst="line">
                <a:avLst/>
              </a:prstGeom>
              <a:ln w="19050">
                <a:solidFill>
                  <a:srgbClr val="FF0000"/>
                </a:solidFill>
              </a:ln>
              <a:effectLst>
                <a:glow rad="101600">
                  <a:schemeClr val="accent3">
                    <a:satMod val="175000"/>
                    <a:alpha val="40000"/>
                  </a:schemeClr>
                </a:glow>
              </a:effectLst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8" name="Conector de Seta Reta 27">
                <a:extLst>
                  <a:ext uri="{FF2B5EF4-FFF2-40B4-BE49-F238E27FC236}">
                    <a16:creationId xmlns:a16="http://schemas.microsoft.com/office/drawing/2014/main" id="{F105D5C2-9E2F-4821-AC86-F082944850DA}"/>
                  </a:ext>
                </a:extLst>
              </xdr:cNvPr>
              <xdr:cNvCxnSpPr/>
            </xdr:nvCxnSpPr>
            <xdr:spPr>
              <a:xfrm flipH="1">
                <a:off x="4533900" y="2600325"/>
                <a:ext cx="1628775" cy="2286000"/>
              </a:xfrm>
              <a:prstGeom prst="straightConnector1">
                <a:avLst/>
              </a:prstGeom>
              <a:ln w="19050">
                <a:solidFill>
                  <a:srgbClr val="FF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pic>
          <xdr:nvPicPr>
            <xdr:cNvPr id="32" name="Imagem 31">
              <a:extLst>
                <a:ext uri="{FF2B5EF4-FFF2-40B4-BE49-F238E27FC236}">
                  <a16:creationId xmlns:a16="http://schemas.microsoft.com/office/drawing/2014/main" id="{898C25D2-5913-1164-FF6E-5E0F58B5B75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/>
            <a:srcRect b="50814"/>
            <a:stretch/>
          </xdr:blipFill>
          <xdr:spPr>
            <a:xfrm>
              <a:off x="1143000" y="5534025"/>
              <a:ext cx="5457143" cy="1428750"/>
            </a:xfrm>
            <a:prstGeom prst="rect">
              <a:avLst/>
            </a:prstGeom>
            <a:ln>
              <a:noFill/>
            </a:ln>
            <a:effectLst>
              <a:outerShdw blurRad="292100" dist="139700" dir="2700000" algn="tl" rotWithShape="0">
                <a:srgbClr val="333333">
                  <a:alpha val="65000"/>
                </a:srgbClr>
              </a:outerShdw>
            </a:effectLst>
          </xdr:spPr>
        </xdr:pic>
      </xdr:grpSp>
      <xdr:pic>
        <xdr:nvPicPr>
          <xdr:cNvPr id="35" name="Imagem 34">
            <a:extLst>
              <a:ext uri="{FF2B5EF4-FFF2-40B4-BE49-F238E27FC236}">
                <a16:creationId xmlns:a16="http://schemas.microsoft.com/office/drawing/2014/main" id="{C04F7CD7-B24D-5310-7EA4-3CB252F044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b="50157"/>
          <a:stretch/>
        </xdr:blipFill>
        <xdr:spPr>
          <a:xfrm>
            <a:off x="6943725" y="5524500"/>
            <a:ext cx="5457143" cy="1447800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cxnSp macro="">
        <xdr:nvCxnSpPr>
          <xdr:cNvPr id="36" name="Conector de Seta Reta 35">
            <a:extLst>
              <a:ext uri="{FF2B5EF4-FFF2-40B4-BE49-F238E27FC236}">
                <a16:creationId xmlns:a16="http://schemas.microsoft.com/office/drawing/2014/main" id="{2B1A778C-F696-4696-ACF3-C1440E3A4157}"/>
              </a:ext>
            </a:extLst>
          </xdr:cNvPr>
          <xdr:cNvCxnSpPr/>
        </xdr:nvCxnSpPr>
        <xdr:spPr>
          <a:xfrm flipV="1">
            <a:off x="4352925" y="6180667"/>
            <a:ext cx="3238500" cy="439208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161932</xdr:colOff>
      <xdr:row>3</xdr:row>
      <xdr:rowOff>145991</xdr:rowOff>
    </xdr:from>
    <xdr:to>
      <xdr:col>21</xdr:col>
      <xdr:colOff>354750</xdr:colOff>
      <xdr:row>21</xdr:row>
      <xdr:rowOff>69791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B0F4AE-34D9-F32D-AA2A-F2A376B80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7" y="698441"/>
          <a:ext cx="5679218" cy="3200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1076153</xdr:colOff>
      <xdr:row>8</xdr:row>
      <xdr:rowOff>120535</xdr:rowOff>
    </xdr:from>
    <xdr:to>
      <xdr:col>11</xdr:col>
      <xdr:colOff>582758</xdr:colOff>
      <xdr:row>21</xdr:row>
      <xdr:rowOff>44335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AC5A2BA8-D42C-05DA-BC00-C0D38A973032}"/>
            </a:ext>
          </a:extLst>
        </xdr:cNvPr>
        <xdr:cNvGrpSpPr/>
      </xdr:nvGrpSpPr>
      <xdr:grpSpPr>
        <a:xfrm>
          <a:off x="4448003" y="1587385"/>
          <a:ext cx="4754880" cy="2286000"/>
          <a:chOff x="4154459" y="1345796"/>
          <a:chExt cx="4424450" cy="1838497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F9A852AB-7F99-9FA2-40AA-E758E2511C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696817" y="2894388"/>
            <a:ext cx="2882092" cy="289905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cxnSp macro="">
        <xdr:nvCxnSpPr>
          <xdr:cNvPr id="5" name="Conector de Seta Reta 4">
            <a:extLst>
              <a:ext uri="{FF2B5EF4-FFF2-40B4-BE49-F238E27FC236}">
                <a16:creationId xmlns:a16="http://schemas.microsoft.com/office/drawing/2014/main" id="{928CBCAC-7EB4-8E0D-4482-C7F7EE44D58A}"/>
              </a:ext>
            </a:extLst>
          </xdr:cNvPr>
          <xdr:cNvCxnSpPr/>
        </xdr:nvCxnSpPr>
        <xdr:spPr>
          <a:xfrm>
            <a:off x="4154459" y="1345796"/>
            <a:ext cx="1551709" cy="1558637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showGridLines="0" tabSelected="1" zoomScaleNormal="100" zoomScaleSheetLayoutView="50" workbookViewId="0">
      <selection activeCell="J1" sqref="J1"/>
    </sheetView>
  </sheetViews>
  <sheetFormatPr defaultColWidth="9.140625" defaultRowHeight="15.75"/>
  <cols>
    <col min="1" max="1" width="4.42578125" style="1" customWidth="1"/>
    <col min="2" max="2" width="11.28515625" style="1" customWidth="1"/>
    <col min="3" max="3" width="9.140625" style="1"/>
    <col min="4" max="4" width="14.85546875" style="1" customWidth="1"/>
    <col min="5" max="5" width="9.140625" style="1"/>
    <col min="6" max="6" width="10.85546875" style="1" customWidth="1"/>
    <col min="7" max="7" width="10.140625" style="1" customWidth="1"/>
    <col min="8" max="8" width="14.7109375" style="1" customWidth="1"/>
    <col min="9" max="16384" width="9.140625" style="1"/>
  </cols>
  <sheetData>
    <row r="2" spans="2:8" ht="18.75">
      <c r="B2" s="22" t="s">
        <v>51</v>
      </c>
      <c r="C2" s="22"/>
      <c r="D2" s="22"/>
      <c r="F2" s="23" t="s">
        <v>50</v>
      </c>
      <c r="G2" s="23"/>
      <c r="H2" s="23"/>
    </row>
    <row r="3" spans="2:8">
      <c r="B3" s="7" t="s">
        <v>49</v>
      </c>
      <c r="C3" s="7" t="s">
        <v>48</v>
      </c>
      <c r="D3" s="7" t="s">
        <v>34</v>
      </c>
      <c r="F3" s="6" t="s">
        <v>47</v>
      </c>
      <c r="G3" s="6" t="s">
        <v>46</v>
      </c>
      <c r="H3" s="6" t="s">
        <v>34</v>
      </c>
    </row>
    <row r="4" spans="2:8">
      <c r="B4" s="3" t="s">
        <v>45</v>
      </c>
      <c r="C4" s="3">
        <v>98</v>
      </c>
      <c r="D4" s="4" t="str">
        <f>IF(C4&gt;=60,"Aprovado",IF(C4&lt;40,"Reprovado","Recuperação"))</f>
        <v>Aprovado</v>
      </c>
      <c r="E4" s="5"/>
      <c r="F4" s="3" t="s">
        <v>45</v>
      </c>
      <c r="G4" s="4" t="s">
        <v>41</v>
      </c>
      <c r="H4" s="3" t="str">
        <f>IF(G4="A","Contratado",IF(G4="B","Experiência","Demissão"))</f>
        <v>Demissão</v>
      </c>
    </row>
    <row r="5" spans="2:8">
      <c r="B5" s="3" t="s">
        <v>44</v>
      </c>
      <c r="C5" s="3">
        <v>45</v>
      </c>
      <c r="D5" s="4" t="str">
        <f t="shared" ref="D5:D9" si="0">IF(C5&gt;=60,"Aprovado",IF(C5&lt;40,"Reprovado","Recuperação"))</f>
        <v>Recuperação</v>
      </c>
      <c r="F5" s="3" t="s">
        <v>44</v>
      </c>
      <c r="G5" s="4" t="s">
        <v>37</v>
      </c>
      <c r="H5" s="3" t="str">
        <f t="shared" ref="H5:H9" si="1">IF(G5="A","Contratado",IF(G5="B","Experiência","Demissão"))</f>
        <v>Contratado</v>
      </c>
    </row>
    <row r="6" spans="2:8">
      <c r="B6" s="3" t="s">
        <v>43</v>
      </c>
      <c r="C6" s="3">
        <v>12</v>
      </c>
      <c r="D6" s="4" t="str">
        <f t="shared" si="0"/>
        <v>Reprovado</v>
      </c>
      <c r="F6" s="3" t="s">
        <v>43</v>
      </c>
      <c r="G6" s="4" t="s">
        <v>39</v>
      </c>
      <c r="H6" s="3" t="str">
        <f t="shared" si="1"/>
        <v>Experiência</v>
      </c>
    </row>
    <row r="7" spans="2:8">
      <c r="B7" s="3" t="s">
        <v>42</v>
      </c>
      <c r="C7" s="3">
        <v>61</v>
      </c>
      <c r="D7" s="4" t="str">
        <f t="shared" si="0"/>
        <v>Aprovado</v>
      </c>
      <c r="F7" s="3" t="s">
        <v>42</v>
      </c>
      <c r="G7" s="4" t="s">
        <v>41</v>
      </c>
      <c r="H7" s="3" t="str">
        <f t="shared" si="1"/>
        <v>Demissão</v>
      </c>
    </row>
    <row r="8" spans="2:8">
      <c r="B8" s="3" t="s">
        <v>40</v>
      </c>
      <c r="C8" s="3">
        <v>25</v>
      </c>
      <c r="D8" s="4" t="str">
        <f t="shared" si="0"/>
        <v>Reprovado</v>
      </c>
      <c r="F8" s="3" t="s">
        <v>40</v>
      </c>
      <c r="G8" s="4" t="s">
        <v>39</v>
      </c>
      <c r="H8" s="3" t="str">
        <f t="shared" si="1"/>
        <v>Experiência</v>
      </c>
    </row>
    <row r="9" spans="2:8">
      <c r="B9" s="3" t="s">
        <v>38</v>
      </c>
      <c r="C9" s="3">
        <v>40</v>
      </c>
      <c r="D9" s="4" t="str">
        <f t="shared" si="0"/>
        <v>Recuperação</v>
      </c>
      <c r="F9" s="3" t="s">
        <v>38</v>
      </c>
      <c r="G9" s="4" t="s">
        <v>37</v>
      </c>
      <c r="H9" s="3" t="str">
        <f t="shared" si="1"/>
        <v>Contratado</v>
      </c>
    </row>
    <row r="10" spans="2:8">
      <c r="B10" s="1" t="s">
        <v>36</v>
      </c>
    </row>
    <row r="12" spans="2:8">
      <c r="B12" s="2" t="s">
        <v>34</v>
      </c>
      <c r="C12" s="1" t="s">
        <v>35</v>
      </c>
      <c r="F12" s="2" t="s">
        <v>34</v>
      </c>
      <c r="G12" s="1" t="s">
        <v>33</v>
      </c>
    </row>
    <row r="13" spans="2:8">
      <c r="C13" s="1" t="s">
        <v>32</v>
      </c>
      <c r="G13" s="1" t="s">
        <v>31</v>
      </c>
    </row>
    <row r="14" spans="2:8">
      <c r="C14" s="1" t="s">
        <v>30</v>
      </c>
      <c r="G14" s="1" t="s">
        <v>29</v>
      </c>
    </row>
  </sheetData>
  <mergeCells count="2">
    <mergeCell ref="B2:D2"/>
    <mergeCell ref="F2:H2"/>
  </mergeCells>
  <conditionalFormatting sqref="D4:D9">
    <cfRule type="cellIs" dxfId="2" priority="1" operator="equal">
      <formula>"Reprovado"</formula>
    </cfRule>
    <cfRule type="cellIs" dxfId="1" priority="2" operator="equal">
      <formula>"Recuperação"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0"/>
  <sheetViews>
    <sheetView showGridLines="0" workbookViewId="0"/>
  </sheetViews>
  <sheetFormatPr defaultColWidth="9.140625" defaultRowHeight="12.75"/>
  <cols>
    <col min="1" max="1" width="6.7109375" style="8" customWidth="1"/>
    <col min="2" max="2" width="56.85546875" style="8" customWidth="1"/>
    <col min="3" max="3" width="12" style="8" customWidth="1"/>
    <col min="4" max="4" width="11.42578125" style="8" customWidth="1"/>
    <col min="5" max="5" width="11.140625" style="8" customWidth="1"/>
    <col min="6" max="6" width="11.42578125" style="8" customWidth="1"/>
    <col min="7" max="7" width="11.85546875" style="8" customWidth="1"/>
    <col min="8" max="8" width="13.42578125" style="8" customWidth="1"/>
    <col min="9" max="10" width="9.140625" style="8"/>
    <col min="11" max="11" width="11.5703125" style="8" customWidth="1"/>
    <col min="12" max="16384" width="9.140625" style="8"/>
  </cols>
  <sheetData>
    <row r="1" spans="2:11" ht="35.25" customHeight="1" thickBot="1">
      <c r="B1" s="27" t="s">
        <v>52</v>
      </c>
      <c r="C1" s="28"/>
      <c r="D1" s="28"/>
      <c r="E1" s="28"/>
      <c r="F1" s="28"/>
      <c r="G1" s="28"/>
      <c r="H1" s="29"/>
    </row>
    <row r="2" spans="2:11" ht="25.5" customHeight="1">
      <c r="B2" s="14" t="s">
        <v>53</v>
      </c>
      <c r="C2" s="15" t="s">
        <v>54</v>
      </c>
      <c r="D2" s="15" t="s">
        <v>55</v>
      </c>
      <c r="E2" s="15" t="s">
        <v>56</v>
      </c>
      <c r="F2" s="15" t="s">
        <v>57</v>
      </c>
      <c r="G2" s="15" t="s">
        <v>58</v>
      </c>
      <c r="H2" s="15" t="s">
        <v>59</v>
      </c>
    </row>
    <row r="3" spans="2:11" ht="18" customHeight="1">
      <c r="B3" s="18" t="s">
        <v>60</v>
      </c>
      <c r="C3" s="17">
        <v>100</v>
      </c>
      <c r="D3" s="17">
        <v>90</v>
      </c>
      <c r="E3" s="17">
        <v>85</v>
      </c>
      <c r="F3" s="17">
        <v>80</v>
      </c>
      <c r="G3" s="17">
        <f>SUM(C3:F3)</f>
        <v>355</v>
      </c>
      <c r="H3" s="19">
        <f>G3/TOTAL</f>
        <v>0.21580547112462006</v>
      </c>
    </row>
    <row r="4" spans="2:11" ht="18" customHeight="1">
      <c r="B4" s="18" t="s">
        <v>61</v>
      </c>
      <c r="C4" s="17">
        <v>50</v>
      </c>
      <c r="D4" s="17">
        <v>130</v>
      </c>
      <c r="E4" s="17">
        <v>85</v>
      </c>
      <c r="F4" s="17">
        <v>80</v>
      </c>
      <c r="G4" s="17">
        <f t="shared" ref="G4:G7" si="0">SUM(C4:F4)</f>
        <v>345</v>
      </c>
      <c r="H4" s="19">
        <f>G4/TOTAL</f>
        <v>0.20972644376899696</v>
      </c>
    </row>
    <row r="5" spans="2:11" ht="18" customHeight="1">
      <c r="B5" s="18" t="s">
        <v>62</v>
      </c>
      <c r="C5" s="17">
        <v>90</v>
      </c>
      <c r="D5" s="17">
        <v>50</v>
      </c>
      <c r="E5" s="17">
        <v>75</v>
      </c>
      <c r="F5" s="17">
        <v>120</v>
      </c>
      <c r="G5" s="17">
        <f t="shared" si="0"/>
        <v>335</v>
      </c>
      <c r="H5" s="19">
        <f>G5/TOTAL</f>
        <v>0.20364741641337386</v>
      </c>
    </row>
    <row r="6" spans="2:11" ht="18" customHeight="1">
      <c r="B6" s="18" t="s">
        <v>63</v>
      </c>
      <c r="C6" s="17">
        <v>150</v>
      </c>
      <c r="D6" s="17">
        <v>40</v>
      </c>
      <c r="E6" s="17">
        <v>120</v>
      </c>
      <c r="F6" s="17">
        <v>80</v>
      </c>
      <c r="G6" s="17">
        <f t="shared" si="0"/>
        <v>390</v>
      </c>
      <c r="H6" s="19">
        <f>G6/TOTAL</f>
        <v>0.23708206686930092</v>
      </c>
    </row>
    <row r="7" spans="2:11" ht="18" customHeight="1">
      <c r="B7" s="18" t="s">
        <v>64</v>
      </c>
      <c r="C7" s="17">
        <v>40</v>
      </c>
      <c r="D7" s="17">
        <v>50</v>
      </c>
      <c r="E7" s="17">
        <v>60</v>
      </c>
      <c r="F7" s="17">
        <v>70</v>
      </c>
      <c r="G7" s="17">
        <f t="shared" si="0"/>
        <v>220</v>
      </c>
      <c r="H7" s="19">
        <f>G7/TOTAL</f>
        <v>0.1337386018237082</v>
      </c>
    </row>
    <row r="8" spans="2:11" ht="15.75">
      <c r="B8" s="16" t="s">
        <v>65</v>
      </c>
      <c r="C8" s="30"/>
      <c r="D8" s="31"/>
      <c r="E8" s="31"/>
      <c r="F8" s="31"/>
      <c r="G8" s="17">
        <f>SUM(G3:G7)</f>
        <v>1645</v>
      </c>
      <c r="H8" s="9"/>
    </row>
    <row r="9" spans="2:11" ht="15.75">
      <c r="B9" s="16" t="s">
        <v>73</v>
      </c>
      <c r="C9" s="17">
        <f>LARGE(C3:C7,1)</f>
        <v>150</v>
      </c>
      <c r="D9" s="17">
        <f t="shared" ref="D9:F9" si="1">LARGE(D3:D7,1)</f>
        <v>130</v>
      </c>
      <c r="E9" s="17">
        <f t="shared" si="1"/>
        <v>120</v>
      </c>
      <c r="F9" s="17">
        <f t="shared" si="1"/>
        <v>120</v>
      </c>
      <c r="G9" s="10"/>
      <c r="H9" s="9"/>
    </row>
    <row r="10" spans="2:11" ht="21" customHeight="1">
      <c r="B10" s="16" t="s">
        <v>66</v>
      </c>
      <c r="C10" s="21" t="str">
        <f>IF(C9=C3,$B$3,IF(C9=C4,$B$4,IF(C9=C5,$B$5,IF(C9=C6,$B$6,$B$7))))</f>
        <v>Utilidades</v>
      </c>
      <c r="D10" s="21" t="str">
        <f>IF(D9=D3,$B$3,IF(D9=D4,$B$4,IF(D9=D5,$B$5,IF(D9=D6,$B$6,$B$7))))</f>
        <v>Feminino</v>
      </c>
      <c r="E10" s="21" t="str">
        <f>IF(E9=E3,$B$3,IF(E9=E4,$B$4,IF(E9=E5,$B$5,IF(E9=E6,$B$6,$B$7))))</f>
        <v>Utilidades</v>
      </c>
      <c r="F10" s="21" t="str">
        <f>IF(F9=F3,$B$3,IF(F9=F4,$B$4,IF(F9=F5,$B$5,IF(F9=F6,$B$6,$B$7))))</f>
        <v>Infantil</v>
      </c>
      <c r="G10" s="11"/>
      <c r="H10" s="12"/>
    </row>
    <row r="11" spans="2:11">
      <c r="B11" s="13"/>
    </row>
    <row r="12" spans="2:11" ht="13.5" thickBot="1"/>
    <row r="13" spans="2:11" ht="21" customHeight="1" thickBot="1">
      <c r="B13" s="32" t="s">
        <v>67</v>
      </c>
      <c r="C13" s="33"/>
      <c r="D13" s="33"/>
      <c r="E13" s="33"/>
      <c r="F13" s="34"/>
    </row>
    <row r="14" spans="2:11" ht="21" customHeight="1">
      <c r="B14" s="35" t="s">
        <v>68</v>
      </c>
      <c r="C14" s="36"/>
      <c r="D14" s="36"/>
      <c r="E14" s="36"/>
      <c r="F14" s="37"/>
    </row>
    <row r="15" spans="2:11" ht="21" customHeight="1">
      <c r="B15" s="38" t="s">
        <v>69</v>
      </c>
      <c r="C15" s="39"/>
      <c r="D15" s="39"/>
      <c r="E15" s="39"/>
      <c r="F15" s="40"/>
      <c r="H15"/>
      <c r="I15"/>
      <c r="J15"/>
      <c r="K15"/>
    </row>
    <row r="16" spans="2:11" ht="21" customHeight="1">
      <c r="B16" s="38" t="s">
        <v>71</v>
      </c>
      <c r="C16" s="39"/>
      <c r="D16" s="39"/>
      <c r="E16" s="39"/>
      <c r="F16" s="40"/>
    </row>
    <row r="17" spans="2:6" ht="21" customHeight="1" thickBot="1">
      <c r="B17" s="24" t="s">
        <v>70</v>
      </c>
      <c r="C17" s="25"/>
      <c r="D17" s="25"/>
      <c r="E17" s="25"/>
      <c r="F17" s="26"/>
    </row>
    <row r="20" spans="2:6" ht="15.75">
      <c r="B20" s="20" t="s">
        <v>74</v>
      </c>
    </row>
  </sheetData>
  <protectedRanges>
    <protectedRange password="CC1D" sqref="C3:C7" name="teste"/>
  </protectedRanges>
  <mergeCells count="7">
    <mergeCell ref="B17:F17"/>
    <mergeCell ref="B1:H1"/>
    <mergeCell ref="C8:F8"/>
    <mergeCell ref="B13:F13"/>
    <mergeCell ref="B14:F14"/>
    <mergeCell ref="B15:F15"/>
    <mergeCell ref="B16:F16"/>
  </mergeCell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2"/>
  <sheetViews>
    <sheetView showGridLines="0" zoomScaleNormal="100" workbookViewId="0"/>
  </sheetViews>
  <sheetFormatPr defaultColWidth="9.140625" defaultRowHeight="14.25"/>
  <cols>
    <col min="1" max="1" width="3.28515625" style="41" customWidth="1"/>
    <col min="2" max="2" width="10.28515625" style="41" bestFit="1" customWidth="1"/>
    <col min="3" max="3" width="21.85546875" style="41" customWidth="1"/>
    <col min="4" max="4" width="15.140625" style="41" customWidth="1"/>
    <col min="5" max="5" width="17" style="41" customWidth="1"/>
    <col min="6" max="6" width="14.85546875" style="41" customWidth="1"/>
    <col min="7" max="7" width="9.140625" style="41"/>
    <col min="8" max="8" width="10.28515625" style="41" bestFit="1" customWidth="1"/>
    <col min="9" max="16384" width="9.140625" style="41"/>
  </cols>
  <sheetData>
    <row r="1" spans="2:6" ht="15">
      <c r="C1" s="42" t="s">
        <v>0</v>
      </c>
      <c r="D1" s="42" t="s">
        <v>1</v>
      </c>
      <c r="E1" s="43"/>
    </row>
    <row r="2" spans="2:6">
      <c r="C2" s="44" t="s">
        <v>2</v>
      </c>
      <c r="D2" s="45">
        <v>0.12</v>
      </c>
      <c r="E2" s="43"/>
      <c r="F2" s="41" t="s">
        <v>72</v>
      </c>
    </row>
    <row r="3" spans="2:6">
      <c r="C3" s="44" t="s">
        <v>3</v>
      </c>
      <c r="D3" s="45">
        <v>0.11</v>
      </c>
      <c r="E3" s="43"/>
      <c r="F3" s="41" t="s">
        <v>27</v>
      </c>
    </row>
    <row r="4" spans="2:6">
      <c r="C4" s="44" t="s">
        <v>4</v>
      </c>
      <c r="D4" s="45">
        <v>0.13500000000000001</v>
      </c>
      <c r="E4" s="43"/>
    </row>
    <row r="5" spans="2:6">
      <c r="C5" s="44" t="s">
        <v>5</v>
      </c>
      <c r="D5" s="45">
        <v>0.09</v>
      </c>
      <c r="E5" s="43"/>
      <c r="F5" s="41" t="s">
        <v>26</v>
      </c>
    </row>
    <row r="6" spans="2:6">
      <c r="C6" s="44" t="s">
        <v>6</v>
      </c>
      <c r="D6" s="45">
        <v>0.18</v>
      </c>
      <c r="E6" s="43"/>
      <c r="F6" s="41" t="s">
        <v>28</v>
      </c>
    </row>
    <row r="7" spans="2:6">
      <c r="C7" s="43"/>
      <c r="D7" s="43"/>
      <c r="E7" s="43"/>
      <c r="F7" s="43"/>
    </row>
    <row r="8" spans="2:6" ht="15">
      <c r="B8" s="42" t="s">
        <v>7</v>
      </c>
      <c r="C8" s="42" t="s">
        <v>20</v>
      </c>
      <c r="D8" s="42" t="s">
        <v>21</v>
      </c>
      <c r="E8" s="42" t="s">
        <v>22</v>
      </c>
      <c r="F8" s="42" t="s">
        <v>23</v>
      </c>
    </row>
    <row r="9" spans="2:6">
      <c r="B9" s="46" t="s">
        <v>8</v>
      </c>
      <c r="C9" s="47" t="s">
        <v>2</v>
      </c>
      <c r="D9" s="48">
        <v>2500</v>
      </c>
      <c r="E9" s="48">
        <f t="shared" ref="E9:E20" si="0">VLOOKUP(C9,quezia,2,FALSE)*D9</f>
        <v>300</v>
      </c>
      <c r="F9" s="49">
        <f>D9+E9</f>
        <v>2800</v>
      </c>
    </row>
    <row r="10" spans="2:6">
      <c r="B10" s="46" t="s">
        <v>9</v>
      </c>
      <c r="C10" s="47" t="s">
        <v>2</v>
      </c>
      <c r="D10" s="48">
        <f>F9</f>
        <v>2800</v>
      </c>
      <c r="E10" s="48">
        <f t="shared" si="0"/>
        <v>336</v>
      </c>
      <c r="F10" s="49">
        <f t="shared" ref="F10:F20" si="1">D10+E10</f>
        <v>3136</v>
      </c>
    </row>
    <row r="11" spans="2:6">
      <c r="B11" s="46" t="s">
        <v>10</v>
      </c>
      <c r="C11" s="47" t="s">
        <v>6</v>
      </c>
      <c r="D11" s="48">
        <f t="shared" ref="D11:D20" si="2">F10</f>
        <v>3136</v>
      </c>
      <c r="E11" s="48">
        <f t="shared" si="0"/>
        <v>564.48</v>
      </c>
      <c r="F11" s="49">
        <f t="shared" si="1"/>
        <v>3700.48</v>
      </c>
    </row>
    <row r="12" spans="2:6">
      <c r="B12" s="46" t="s">
        <v>11</v>
      </c>
      <c r="C12" s="47" t="s">
        <v>3</v>
      </c>
      <c r="D12" s="48">
        <f t="shared" si="2"/>
        <v>3700.48</v>
      </c>
      <c r="E12" s="48">
        <f t="shared" si="0"/>
        <v>407.05279999999999</v>
      </c>
      <c r="F12" s="49">
        <f t="shared" si="1"/>
        <v>4107.5328</v>
      </c>
    </row>
    <row r="13" spans="2:6">
      <c r="B13" s="46" t="s">
        <v>12</v>
      </c>
      <c r="C13" s="47" t="s">
        <v>6</v>
      </c>
      <c r="D13" s="48">
        <f t="shared" si="2"/>
        <v>4107.5328</v>
      </c>
      <c r="E13" s="48">
        <f t="shared" si="0"/>
        <v>739.35590400000001</v>
      </c>
      <c r="F13" s="49">
        <f t="shared" si="1"/>
        <v>4846.888704</v>
      </c>
    </row>
    <row r="14" spans="2:6">
      <c r="B14" s="46" t="s">
        <v>13</v>
      </c>
      <c r="C14" s="47" t="s">
        <v>5</v>
      </c>
      <c r="D14" s="48">
        <f t="shared" si="2"/>
        <v>4846.888704</v>
      </c>
      <c r="E14" s="48">
        <f t="shared" si="0"/>
        <v>436.21998335999996</v>
      </c>
      <c r="F14" s="49">
        <f t="shared" si="1"/>
        <v>5283.1086873599997</v>
      </c>
    </row>
    <row r="15" spans="2:6">
      <c r="B15" s="46" t="s">
        <v>14</v>
      </c>
      <c r="C15" s="47" t="s">
        <v>2</v>
      </c>
      <c r="D15" s="48">
        <f t="shared" si="2"/>
        <v>5283.1086873599997</v>
      </c>
      <c r="E15" s="48">
        <f t="shared" si="0"/>
        <v>633.97304248319995</v>
      </c>
      <c r="F15" s="49">
        <f t="shared" si="1"/>
        <v>5917.0817298431994</v>
      </c>
    </row>
    <row r="16" spans="2:6">
      <c r="B16" s="46" t="s">
        <v>15</v>
      </c>
      <c r="C16" s="47" t="s">
        <v>4</v>
      </c>
      <c r="D16" s="48">
        <f t="shared" si="2"/>
        <v>5917.0817298431994</v>
      </c>
      <c r="E16" s="48">
        <f t="shared" si="0"/>
        <v>798.80603352883202</v>
      </c>
      <c r="F16" s="49">
        <f t="shared" si="1"/>
        <v>6715.8877633720313</v>
      </c>
    </row>
    <row r="17" spans="2:8">
      <c r="B17" s="46" t="s">
        <v>16</v>
      </c>
      <c r="C17" s="47" t="s">
        <v>5</v>
      </c>
      <c r="D17" s="48">
        <f t="shared" si="2"/>
        <v>6715.8877633720313</v>
      </c>
      <c r="E17" s="48">
        <f t="shared" si="0"/>
        <v>604.42989870348276</v>
      </c>
      <c r="F17" s="49">
        <f t="shared" si="1"/>
        <v>7320.3176620755139</v>
      </c>
    </row>
    <row r="18" spans="2:8">
      <c r="B18" s="46" t="s">
        <v>17</v>
      </c>
      <c r="C18" s="47" t="s">
        <v>6</v>
      </c>
      <c r="D18" s="48">
        <f t="shared" si="2"/>
        <v>7320.3176620755139</v>
      </c>
      <c r="E18" s="48">
        <f t="shared" si="0"/>
        <v>1317.6571791735926</v>
      </c>
      <c r="F18" s="49">
        <f t="shared" si="1"/>
        <v>8637.9748412491062</v>
      </c>
    </row>
    <row r="19" spans="2:8">
      <c r="B19" s="46" t="s">
        <v>18</v>
      </c>
      <c r="C19" s="47" t="s">
        <v>2</v>
      </c>
      <c r="D19" s="48">
        <f t="shared" si="2"/>
        <v>8637.9748412491062</v>
      </c>
      <c r="E19" s="48">
        <f t="shared" si="0"/>
        <v>1036.5569809498927</v>
      </c>
      <c r="F19" s="49">
        <f t="shared" si="1"/>
        <v>9674.5318221989983</v>
      </c>
    </row>
    <row r="20" spans="2:8">
      <c r="B20" s="46" t="s">
        <v>19</v>
      </c>
      <c r="C20" s="47" t="s">
        <v>6</v>
      </c>
      <c r="D20" s="48">
        <f t="shared" si="2"/>
        <v>9674.5318221989983</v>
      </c>
      <c r="E20" s="48">
        <f t="shared" si="0"/>
        <v>1741.4157279958197</v>
      </c>
      <c r="F20" s="49">
        <f t="shared" si="1"/>
        <v>11415.947550194818</v>
      </c>
      <c r="H20" s="50"/>
    </row>
    <row r="21" spans="2:8" ht="15">
      <c r="C21" s="51" t="s">
        <v>24</v>
      </c>
      <c r="D21" s="52">
        <f>AVERAGE(D9:D20)</f>
        <v>5386.6503341749049</v>
      </c>
      <c r="E21" s="48">
        <f t="shared" ref="E21:F21" si="3">AVERAGE(E9:E20)</f>
        <v>742.99562918290167</v>
      </c>
      <c r="F21" s="52">
        <f t="shared" si="3"/>
        <v>6129.6459633578061</v>
      </c>
    </row>
    <row r="22" spans="2:8" ht="15">
      <c r="C22" s="53" t="s">
        <v>25</v>
      </c>
      <c r="D22" s="54"/>
      <c r="E22" s="48">
        <f>SUM(E9:E20)</f>
        <v>8915.94755019482</v>
      </c>
    </row>
  </sheetData>
  <mergeCells count="1">
    <mergeCell ref="C22:D22"/>
  </mergeCells>
  <phoneticPr fontId="0" type="noConversion"/>
  <dataValidations disablePrompts="1" count="1">
    <dataValidation type="list" allowBlank="1" showInputMessage="1" showErrorMessage="1" sqref="C9:C20" xr:uid="{25EF6D36-CA72-419E-9B96-0CE149567D16}">
      <formula1>$C$2:$C$6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60" verticalDpi="360" r:id="rId1"/>
  <headerFooter alignWithMargins="0"/>
  <ignoredErrors>
    <ignoredError sqref="D10:D20 E10 E11:E22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Função SE Composta</vt:lpstr>
      <vt:lpstr>Função SE Aninhado</vt:lpstr>
      <vt:lpstr>Aplicações - Função PROCV</vt:lpstr>
      <vt:lpstr>quezia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Ademir Andrade De Oliveira</cp:lastModifiedBy>
  <dcterms:created xsi:type="dcterms:W3CDTF">2003-04-23T20:03:43Z</dcterms:created>
  <dcterms:modified xsi:type="dcterms:W3CDTF">2025-08-23T10:03:44Z</dcterms:modified>
</cp:coreProperties>
</file>