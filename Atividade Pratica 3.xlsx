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INGSTON\Cursos SENAC\EXCEL AVANÇADO\Exercícios\"/>
    </mc:Choice>
  </mc:AlternateContent>
  <xr:revisionPtr revIDLastSave="0" documentId="13_ncr:1_{FD1FBF31-297B-4847-BF34-9B4C9FF21E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nção SOM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7" i="1"/>
  <c r="F8" i="1"/>
  <c r="F9" i="1"/>
  <c r="F10" i="1"/>
  <c r="F11" i="1"/>
  <c r="F25" i="1" s="1"/>
  <c r="F12" i="1"/>
  <c r="F13" i="1"/>
  <c r="F6" i="1"/>
  <c r="F23" i="1"/>
  <c r="F22" i="1"/>
  <c r="F24" i="1"/>
  <c r="F2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Ademir Andrade De Oliveira</author>
  </authors>
  <commentList>
    <comment ref="F3" authorId="0" shapeId="0" xr:uid="{D86704A3-C514-4A93-91E5-E121287DBF24}">
      <text>
        <r>
          <rPr>
            <b/>
            <sz val="9"/>
            <color indexed="81"/>
            <rFont val="Segoe UI"/>
            <family val="2"/>
          </rPr>
          <t>FUNÇÃO SE SIMPLES
=se(D4="Gasolina"; E4*1%; E4*1,3%)</t>
        </r>
      </text>
    </comment>
  </commentList>
</comments>
</file>

<file path=xl/sharedStrings.xml><?xml version="1.0" encoding="utf-8"?>
<sst xmlns="http://schemas.openxmlformats.org/spreadsheetml/2006/main" count="46" uniqueCount="31">
  <si>
    <t>Comissão</t>
  </si>
  <si>
    <t>Preço de Venda</t>
  </si>
  <si>
    <t>Marca</t>
  </si>
  <si>
    <t>Modelo</t>
  </si>
  <si>
    <t>VW - Volkswagen</t>
  </si>
  <si>
    <t>GM - Chevrolet</t>
  </si>
  <si>
    <t>Fiat</t>
  </si>
  <si>
    <t>Soma das comissões de veículos com preço acima de R$20.000,00:</t>
  </si>
  <si>
    <t>Soma dos valores de venda dos automóveis da marca GM - Chevrolet:</t>
  </si>
  <si>
    <t>Ano</t>
  </si>
  <si>
    <t xml:space="preserve">Parati 1000 Mi </t>
  </si>
  <si>
    <t xml:space="preserve">Celta Life 1.4 </t>
  </si>
  <si>
    <t xml:space="preserve">Kadett GL 2.0 </t>
  </si>
  <si>
    <t xml:space="preserve">Palio 1.5 </t>
  </si>
  <si>
    <t xml:space="preserve">Passat Variant 2.0 </t>
  </si>
  <si>
    <t>Astra Sed.Advant.</t>
  </si>
  <si>
    <t xml:space="preserve">Corsa Sed </t>
  </si>
  <si>
    <t>Fiorino Pick-Up</t>
  </si>
  <si>
    <t>Combustível</t>
  </si>
  <si>
    <t>Gasolina</t>
  </si>
  <si>
    <t>Álcool</t>
  </si>
  <si>
    <t>Voyage CL 1.8</t>
  </si>
  <si>
    <t>Uno CS/T/Sport 1.5</t>
  </si>
  <si>
    <t>Soma das comissões de veículos da marca Fiat:</t>
  </si>
  <si>
    <t>Soma dos preços de venda  dos veículos  que usam álcool como combustível:</t>
  </si>
  <si>
    <t>Soma das comissões dos veículos com ano inferior a 2000:</t>
  </si>
  <si>
    <t>Planilha de Vendas de Automóveis com Comissão</t>
  </si>
  <si>
    <t>COMISSÃO</t>
  </si>
  <si>
    <t>Se o combustível=Gasolina, comissão será igual a 1% sobre o Preço de Venda</t>
  </si>
  <si>
    <t>Se o combustível=Álcool, comissão será igual a 1,3% sobre o Preço de Venda</t>
  </si>
  <si>
    <t>SOMA DAS COMISSÕES - CRITÉRIOS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</si>
</sst>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0" fontId="2" fillId="0" borderId="1" xfId="0" applyFont="1" applyBorder="1"/>
    <xf numFmtId="44" fontId="0" fillId="0" borderId="1" xfId="1" applyFont="1" applyBorder="1" applyAlignment="1">
      <alignment vertical="center" wrapText="1"/>
    </xf>
    <xf numFmtId="44" fontId="0" fillId="3" borderId="1" xfId="1" applyFont="1" applyFill="1" applyBorder="1" applyAlignment="1">
      <alignment vertical="center" wrapText="1"/>
    </xf>
    <xf numFmtId="44" fontId="0" fillId="3" borderId="1" xfId="1" applyFont="1" applyFill="1" applyBorder="1"/>
    <xf numFmtId="0" fontId="2" fillId="0" borderId="0" xfId="0" applyFont="1"/>
    <xf numFmtId="44" fontId="0" fillId="0" borderId="0" xfId="1" applyFont="1" applyBorder="1"/>
    <xf numFmtId="0" fontId="4" fillId="5" borderId="0" xfId="0" applyFont="1" applyFill="1"/>
    <xf numFmtId="0" fontId="2" fillId="0" borderId="0" xfId="0" applyFont="1" applyAlignment="1">
      <alignment horizontal="left"/>
    </xf>
    <xf numFmtId="0" fontId="4" fillId="2" borderId="1" xfId="0" applyFont="1" applyFill="1" applyBorder="1" applyAlignment="1">
      <alignment horizontal="left"/>
    </xf>
    <xf numFmtId="0" fontId="3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44" fontId="0" fillId="0" borderId="1" xfId="1" applyFont="1" applyFill="1" applyBorder="1" applyAlignment="1">
      <alignment horizontal="left" vertical="center" wrapText="1" indent="1"/>
    </xf>
    <xf numFmtId="44" fontId="0" fillId="3" borderId="1" xfId="1" applyFont="1" applyFill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showGridLines="0" tabSelected="1" zoomScale="120" zoomScaleNormal="120" workbookViewId="0">
      <selection activeCell="F23" sqref="F23"/>
    </sheetView>
  </sheetViews>
  <sheetFormatPr defaultRowHeight="15" x14ac:dyDescent="0.25"/>
  <cols>
    <col min="1" max="1" width="18.28515625" customWidth="1"/>
    <col min="2" max="2" width="19.7109375" customWidth="1"/>
    <col min="3" max="3" width="8.42578125" customWidth="1"/>
    <col min="4" max="4" width="13.140625" customWidth="1"/>
    <col min="5" max="5" width="17" customWidth="1"/>
    <col min="6" max="6" width="16.140625" customWidth="1"/>
    <col min="7" max="7" width="6.28515625" customWidth="1"/>
    <col min="8" max="8" width="5.5703125" customWidth="1"/>
  </cols>
  <sheetData>
    <row r="1" spans="1:7" ht="23.25" customHeight="1" x14ac:dyDescent="0.25">
      <c r="A1" s="13" t="s">
        <v>26</v>
      </c>
      <c r="B1" s="13"/>
      <c r="C1" s="13"/>
      <c r="D1" s="13"/>
      <c r="E1" s="13"/>
      <c r="F1" s="13"/>
    </row>
    <row r="2" spans="1:7" x14ac:dyDescent="0.25">
      <c r="A2" s="14"/>
      <c r="B2" s="14"/>
      <c r="C2" s="14"/>
      <c r="D2" s="14"/>
      <c r="E2" s="14"/>
      <c r="F2" s="14"/>
    </row>
    <row r="3" spans="1:7" x14ac:dyDescent="0.25">
      <c r="A3" s="12" t="s">
        <v>2</v>
      </c>
      <c r="B3" s="12" t="s">
        <v>3</v>
      </c>
      <c r="C3" s="12" t="s">
        <v>9</v>
      </c>
      <c r="D3" s="12" t="s">
        <v>18</v>
      </c>
      <c r="E3" s="12" t="s">
        <v>1</v>
      </c>
      <c r="F3" s="12" t="s">
        <v>0</v>
      </c>
    </row>
    <row r="4" spans="1:7" x14ac:dyDescent="0.25">
      <c r="A4" s="2" t="s">
        <v>4</v>
      </c>
      <c r="B4" s="2" t="s">
        <v>10</v>
      </c>
      <c r="C4" s="2">
        <v>2002</v>
      </c>
      <c r="D4" s="2" t="s">
        <v>19</v>
      </c>
      <c r="E4" s="3">
        <v>22500</v>
      </c>
      <c r="F4" s="3">
        <f>IF(D4="Gasolina",E4*1%,E4*1.3%)</f>
        <v>225</v>
      </c>
    </row>
    <row r="5" spans="1:7" x14ac:dyDescent="0.25">
      <c r="A5" s="4" t="s">
        <v>5</v>
      </c>
      <c r="B5" s="4" t="s">
        <v>11</v>
      </c>
      <c r="C5" s="4">
        <v>2006</v>
      </c>
      <c r="D5" s="4" t="s">
        <v>19</v>
      </c>
      <c r="E5" s="3">
        <v>18900</v>
      </c>
      <c r="F5" s="3">
        <f>IF(D5="Gasolina",E5*1%,E5*1.3%)</f>
        <v>189</v>
      </c>
      <c r="G5" s="1"/>
    </row>
    <row r="6" spans="1:7" x14ac:dyDescent="0.25">
      <c r="A6" s="4" t="s">
        <v>5</v>
      </c>
      <c r="B6" s="4" t="s">
        <v>12</v>
      </c>
      <c r="C6" s="4">
        <v>1996</v>
      </c>
      <c r="D6" s="4" t="s">
        <v>20</v>
      </c>
      <c r="E6" s="3">
        <v>11530</v>
      </c>
      <c r="F6" s="3">
        <f>IF(D6="Gasolina",E6*1%,E6*1.3%)</f>
        <v>149.89000000000001</v>
      </c>
      <c r="G6" s="1"/>
    </row>
    <row r="7" spans="1:7" x14ac:dyDescent="0.25">
      <c r="A7" s="2" t="s">
        <v>6</v>
      </c>
      <c r="B7" s="4" t="s">
        <v>13</v>
      </c>
      <c r="C7" s="4">
        <v>2002</v>
      </c>
      <c r="D7" s="4" t="s">
        <v>20</v>
      </c>
      <c r="E7" s="3">
        <v>14885</v>
      </c>
      <c r="F7" s="3">
        <f t="shared" ref="F7:F13" si="0">IF(D7="Gasolina",E7*1%,E7*1.3%)</f>
        <v>193.50500000000002</v>
      </c>
      <c r="G7" s="1"/>
    </row>
    <row r="8" spans="1:7" x14ac:dyDescent="0.25">
      <c r="A8" s="2" t="s">
        <v>4</v>
      </c>
      <c r="B8" s="4" t="s">
        <v>14</v>
      </c>
      <c r="C8" s="4">
        <v>1994</v>
      </c>
      <c r="D8" s="4" t="s">
        <v>19</v>
      </c>
      <c r="E8" s="3">
        <v>13457</v>
      </c>
      <c r="F8" s="3">
        <f t="shared" si="0"/>
        <v>134.57</v>
      </c>
      <c r="G8" s="1"/>
    </row>
    <row r="9" spans="1:7" x14ac:dyDescent="0.25">
      <c r="A9" s="2" t="s">
        <v>6</v>
      </c>
      <c r="B9" s="4" t="s">
        <v>22</v>
      </c>
      <c r="C9" s="4">
        <v>1995</v>
      </c>
      <c r="D9" s="4" t="s">
        <v>20</v>
      </c>
      <c r="E9" s="3">
        <v>9940</v>
      </c>
      <c r="F9" s="3">
        <f t="shared" si="0"/>
        <v>129.22</v>
      </c>
      <c r="G9" s="1"/>
    </row>
    <row r="10" spans="1:7" x14ac:dyDescent="0.25">
      <c r="A10" s="2" t="s">
        <v>5</v>
      </c>
      <c r="B10" s="4" t="s">
        <v>15</v>
      </c>
      <c r="C10" s="4">
        <v>2008</v>
      </c>
      <c r="D10" s="4" t="s">
        <v>19</v>
      </c>
      <c r="E10" s="3">
        <v>40848</v>
      </c>
      <c r="F10" s="3">
        <f t="shared" si="0"/>
        <v>408.48</v>
      </c>
      <c r="G10" s="1"/>
    </row>
    <row r="11" spans="1:7" x14ac:dyDescent="0.25">
      <c r="A11" s="2" t="s">
        <v>4</v>
      </c>
      <c r="B11" s="4" t="s">
        <v>21</v>
      </c>
      <c r="C11" s="4">
        <v>1995</v>
      </c>
      <c r="D11" s="4" t="s">
        <v>20</v>
      </c>
      <c r="E11" s="3">
        <v>9877</v>
      </c>
      <c r="F11" s="3">
        <f t="shared" si="0"/>
        <v>128.40100000000001</v>
      </c>
      <c r="G11" s="1"/>
    </row>
    <row r="12" spans="1:7" x14ac:dyDescent="0.25">
      <c r="A12" s="2" t="s">
        <v>5</v>
      </c>
      <c r="B12" s="4" t="s">
        <v>16</v>
      </c>
      <c r="C12" s="4">
        <v>2006</v>
      </c>
      <c r="D12" s="4" t="s">
        <v>19</v>
      </c>
      <c r="E12" s="3">
        <v>22228</v>
      </c>
      <c r="F12" s="3">
        <f t="shared" si="0"/>
        <v>222.28</v>
      </c>
      <c r="G12" s="1"/>
    </row>
    <row r="13" spans="1:7" x14ac:dyDescent="0.25">
      <c r="A13" s="2" t="s">
        <v>6</v>
      </c>
      <c r="B13" s="4" t="s">
        <v>17</v>
      </c>
      <c r="C13" s="4">
        <v>1998</v>
      </c>
      <c r="D13" s="4" t="s">
        <v>19</v>
      </c>
      <c r="E13" s="3">
        <v>13187</v>
      </c>
      <c r="F13" s="3">
        <f t="shared" si="0"/>
        <v>131.87</v>
      </c>
      <c r="G13" s="1"/>
    </row>
    <row r="14" spans="1:7" x14ac:dyDescent="0.25">
      <c r="B14" s="8"/>
      <c r="C14" s="8"/>
      <c r="D14" s="8"/>
      <c r="E14" s="9"/>
      <c r="F14" s="9"/>
      <c r="G14" s="1"/>
    </row>
    <row r="15" spans="1:7" x14ac:dyDescent="0.25">
      <c r="A15" s="10" t="s">
        <v>27</v>
      </c>
      <c r="B15" s="17" t="s">
        <v>28</v>
      </c>
      <c r="C15" s="18"/>
      <c r="D15" s="18"/>
      <c r="E15" s="18"/>
      <c r="F15" s="19"/>
      <c r="G15" s="1"/>
    </row>
    <row r="16" spans="1:7" x14ac:dyDescent="0.25">
      <c r="B16" s="17" t="s">
        <v>29</v>
      </c>
      <c r="C16" s="18"/>
      <c r="D16" s="18"/>
      <c r="E16" s="18"/>
      <c r="F16" s="19"/>
      <c r="G16" s="1"/>
    </row>
    <row r="17" spans="1:7" x14ac:dyDescent="0.25">
      <c r="B17" s="11"/>
      <c r="C17" s="11"/>
      <c r="D17" s="11"/>
      <c r="E17" s="11"/>
      <c r="F17" s="11"/>
      <c r="G17" s="1"/>
    </row>
    <row r="18" spans="1:7" x14ac:dyDescent="0.25">
      <c r="B18" s="11"/>
      <c r="C18" s="11"/>
      <c r="D18" s="11"/>
      <c r="E18" s="11"/>
      <c r="F18" s="11"/>
      <c r="G18" s="1"/>
    </row>
    <row r="19" spans="1:7" x14ac:dyDescent="0.25">
      <c r="A19" s="10" t="s">
        <v>30</v>
      </c>
      <c r="B19" s="10"/>
      <c r="C19" s="11"/>
      <c r="D19" s="11"/>
      <c r="E19" s="11"/>
      <c r="F19" s="11"/>
      <c r="G19" s="1"/>
    </row>
    <row r="20" spans="1:7" x14ac:dyDescent="0.25">
      <c r="D20" s="1"/>
      <c r="E20" s="1"/>
    </row>
    <row r="21" spans="1:7" ht="15" customHeight="1" x14ac:dyDescent="0.25">
      <c r="A21" s="16" t="s">
        <v>7</v>
      </c>
      <c r="B21" s="16"/>
      <c r="C21" s="16"/>
      <c r="D21" s="16"/>
      <c r="E21" s="16"/>
      <c r="F21" s="6">
        <f>SUMIF(E4:E13,"&gt;20.000",F4:F13)</f>
        <v>855.76</v>
      </c>
    </row>
    <row r="22" spans="1:7" ht="15" customHeight="1" x14ac:dyDescent="0.25">
      <c r="A22" s="15" t="s">
        <v>8</v>
      </c>
      <c r="B22" s="15"/>
      <c r="C22" s="15"/>
      <c r="D22" s="15"/>
      <c r="E22" s="15"/>
      <c r="F22" s="5">
        <f>SUMIF(A4:A13,"GM - Chevrolet",E4:E13)</f>
        <v>93506</v>
      </c>
    </row>
    <row r="23" spans="1:7" ht="15" customHeight="1" x14ac:dyDescent="0.25">
      <c r="A23" s="16" t="s">
        <v>23</v>
      </c>
      <c r="B23" s="16"/>
      <c r="C23" s="16"/>
      <c r="D23" s="16"/>
      <c r="E23" s="16"/>
      <c r="F23" s="6">
        <f>SUMIF(A4:A13,"Fiat",F4:F13)</f>
        <v>454.59500000000003</v>
      </c>
    </row>
    <row r="24" spans="1:7" ht="15" customHeight="1" x14ac:dyDescent="0.25">
      <c r="A24" s="15" t="s">
        <v>24</v>
      </c>
      <c r="B24" s="15"/>
      <c r="C24" s="15"/>
      <c r="D24" s="15"/>
      <c r="E24" s="15"/>
      <c r="F24" s="5">
        <f>SUMIF(D4:D13,"=Álcool",E4:E13)</f>
        <v>46232</v>
      </c>
    </row>
    <row r="25" spans="1:7" ht="15" customHeight="1" x14ac:dyDescent="0.25">
      <c r="A25" s="16" t="s">
        <v>25</v>
      </c>
      <c r="B25" s="16"/>
      <c r="C25" s="16"/>
      <c r="D25" s="16"/>
      <c r="E25" s="16"/>
      <c r="F25" s="7">
        <f>SUMIF(C4:C13,"&lt;2000",F4:F13)</f>
        <v>673.95100000000014</v>
      </c>
    </row>
  </sheetData>
  <mergeCells count="8">
    <mergeCell ref="A1:F2"/>
    <mergeCell ref="A24:E24"/>
    <mergeCell ref="A25:E25"/>
    <mergeCell ref="B15:F15"/>
    <mergeCell ref="B16:F16"/>
    <mergeCell ref="A21:E21"/>
    <mergeCell ref="A22:E22"/>
    <mergeCell ref="A23:E23"/>
  </mergeCells>
  <pageMargins left="0.511811024" right="0.511811024" top="0.78740157499999996" bottom="0.78740157499999996" header="0.31496062000000002" footer="0.31496062000000002"/>
  <pageSetup orientation="portrait" horizontalDpi="300" r:id="rId1"/>
  <cellWatches>
    <cellWatch r="F21"/>
  </cellWatche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77A8D0BB47964CA28F51CD21440E84" ma:contentTypeVersion="13" ma:contentTypeDescription="Crie um novo documento." ma:contentTypeScope="" ma:versionID="6cc8c841a593b87c83286fba5d80a0cf">
  <xsd:schema xmlns:xsd="http://www.w3.org/2001/XMLSchema" xmlns:xs="http://www.w3.org/2001/XMLSchema" xmlns:p="http://schemas.microsoft.com/office/2006/metadata/properties" xmlns:ns3="74285de9-ba77-4c98-a537-e81f4f703a9a" xmlns:ns4="b67657ac-f914-40d1-be53-a4c52323e7ab" targetNamespace="http://schemas.microsoft.com/office/2006/metadata/properties" ma:root="true" ma:fieldsID="00367b37cf8dba711aea349074357f54" ns3:_="" ns4:_="">
    <xsd:import namespace="74285de9-ba77-4c98-a537-e81f4f703a9a"/>
    <xsd:import namespace="b67657ac-f914-40d1-be53-a4c52323e7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85de9-ba77-4c98-a537-e81f4f703a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657ac-f914-40d1-be53-a4c52323e7a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409006-147C-4DF3-A465-05284C1BEE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285de9-ba77-4c98-a537-e81f4f703a9a"/>
    <ds:schemaRef ds:uri="b67657ac-f914-40d1-be53-a4c52323e7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4D921A-6C92-4957-90A6-0A39291173CF}">
  <ds:schemaRefs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b67657ac-f914-40d1-be53-a4c52323e7ab"/>
    <ds:schemaRef ds:uri="http://schemas.microsoft.com/office/2006/metadata/properties"/>
    <ds:schemaRef ds:uri="http://schemas.openxmlformats.org/package/2006/metadata/core-properties"/>
    <ds:schemaRef ds:uri="74285de9-ba77-4c98-a537-e81f4f703a9a"/>
  </ds:schemaRefs>
</ds:datastoreItem>
</file>

<file path=customXml/itemProps3.xml><?xml version="1.0" encoding="utf-8"?>
<ds:datastoreItem xmlns:ds="http://schemas.openxmlformats.org/officeDocument/2006/customXml" ds:itemID="{395AE2BA-1EF2-4D4E-8924-F205E0FA57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Função SOMASE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Izabela Augusta Andrade Lima</cp:lastModifiedBy>
  <dcterms:created xsi:type="dcterms:W3CDTF">2009-03-21T14:20:33Z</dcterms:created>
  <dcterms:modified xsi:type="dcterms:W3CDTF">2025-08-30T15:31:41Z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0x010100EA77A8D0BB47964CA28F51CD21440E84</vt:lpwstr>
  </property>
</Properties>
</file>